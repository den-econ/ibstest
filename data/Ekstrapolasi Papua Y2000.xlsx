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y/Documents/GitHub/complexity/data/raw/"/>
    </mc:Choice>
  </mc:AlternateContent>
  <xr:revisionPtr revIDLastSave="0" documentId="8_{61C174EA-6E7F-8C40-90F6-C9E473849C87}" xr6:coauthVersionLast="47" xr6:coauthVersionMax="47" xr10:uidLastSave="{00000000-0000-0000-0000-000000000000}"/>
  <bookViews>
    <workbookView xWindow="740" yWindow="1000" windowWidth="27700" windowHeight="16440" xr2:uid="{FFC6E136-F94C-4543-95A9-DBF5CD3932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9" i="1" l="1"/>
  <c r="K49" i="1"/>
  <c r="J49" i="1"/>
  <c r="I49" i="1"/>
  <c r="H49" i="1"/>
  <c r="G49" i="1"/>
  <c r="F49" i="1"/>
  <c r="E49" i="1"/>
  <c r="D49" i="1"/>
  <c r="C49" i="1"/>
  <c r="X49" i="1"/>
  <c r="W49" i="1"/>
  <c r="V49" i="1"/>
  <c r="U49" i="1"/>
  <c r="T49" i="1"/>
  <c r="S49" i="1"/>
  <c r="R49" i="1"/>
  <c r="Q49" i="1"/>
  <c r="P49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X71" i="1"/>
  <c r="W71" i="1"/>
  <c r="V71" i="1"/>
  <c r="U71" i="1"/>
  <c r="T71" i="1"/>
  <c r="S71" i="1"/>
  <c r="R71" i="1"/>
  <c r="Q71" i="1"/>
  <c r="P71" i="1"/>
  <c r="X70" i="1"/>
  <c r="W70" i="1"/>
  <c r="V70" i="1"/>
  <c r="U70" i="1"/>
  <c r="T70" i="1"/>
  <c r="S70" i="1"/>
  <c r="R70" i="1"/>
  <c r="Q70" i="1"/>
  <c r="P70" i="1"/>
  <c r="X69" i="1"/>
  <c r="W69" i="1"/>
  <c r="V69" i="1"/>
  <c r="U69" i="1"/>
  <c r="T69" i="1"/>
  <c r="S69" i="1"/>
  <c r="R69" i="1"/>
  <c r="Q69" i="1"/>
  <c r="P69" i="1"/>
  <c r="X68" i="1"/>
  <c r="W68" i="1"/>
  <c r="V68" i="1"/>
  <c r="U68" i="1"/>
  <c r="T68" i="1"/>
  <c r="S68" i="1"/>
  <c r="R68" i="1"/>
  <c r="Q68" i="1"/>
  <c r="P68" i="1"/>
  <c r="X67" i="1"/>
  <c r="W67" i="1"/>
  <c r="V67" i="1"/>
  <c r="U67" i="1"/>
  <c r="T67" i="1"/>
  <c r="S67" i="1"/>
  <c r="R67" i="1"/>
  <c r="Q67" i="1"/>
  <c r="P67" i="1"/>
  <c r="X66" i="1"/>
  <c r="W66" i="1"/>
  <c r="V66" i="1"/>
  <c r="U66" i="1"/>
  <c r="T66" i="1"/>
  <c r="S66" i="1"/>
  <c r="R66" i="1"/>
  <c r="Q66" i="1"/>
  <c r="P66" i="1"/>
  <c r="X65" i="1"/>
  <c r="W65" i="1"/>
  <c r="V65" i="1"/>
  <c r="U65" i="1"/>
  <c r="T65" i="1"/>
  <c r="S65" i="1"/>
  <c r="R65" i="1"/>
  <c r="Q65" i="1"/>
  <c r="P65" i="1"/>
  <c r="X64" i="1"/>
  <c r="W64" i="1"/>
  <c r="V64" i="1"/>
  <c r="U64" i="1"/>
  <c r="T64" i="1"/>
  <c r="S64" i="1"/>
  <c r="R64" i="1"/>
  <c r="Q64" i="1"/>
  <c r="P64" i="1"/>
  <c r="X63" i="1"/>
  <c r="W63" i="1"/>
  <c r="V63" i="1"/>
  <c r="U63" i="1"/>
  <c r="T63" i="1"/>
  <c r="S63" i="1"/>
  <c r="R63" i="1"/>
  <c r="Q63" i="1"/>
  <c r="P63" i="1"/>
  <c r="X62" i="1"/>
  <c r="W62" i="1"/>
  <c r="V62" i="1"/>
  <c r="U62" i="1"/>
  <c r="T62" i="1"/>
  <c r="S62" i="1"/>
  <c r="R62" i="1"/>
  <c r="Q62" i="1"/>
  <c r="P62" i="1"/>
  <c r="X61" i="1"/>
  <c r="W61" i="1"/>
  <c r="V61" i="1"/>
  <c r="U61" i="1"/>
  <c r="T61" i="1"/>
  <c r="S61" i="1"/>
  <c r="R61" i="1"/>
  <c r="Q61" i="1"/>
  <c r="P61" i="1"/>
  <c r="X60" i="1"/>
  <c r="W60" i="1"/>
  <c r="V60" i="1"/>
  <c r="U60" i="1"/>
  <c r="T60" i="1"/>
  <c r="S60" i="1"/>
  <c r="R60" i="1"/>
  <c r="Q60" i="1"/>
  <c r="P60" i="1"/>
  <c r="X59" i="1"/>
  <c r="W59" i="1"/>
  <c r="V59" i="1"/>
  <c r="U59" i="1"/>
  <c r="T59" i="1"/>
  <c r="S59" i="1"/>
  <c r="R59" i="1"/>
  <c r="Q59" i="1"/>
  <c r="P59" i="1"/>
  <c r="X58" i="1"/>
  <c r="W58" i="1"/>
  <c r="V58" i="1"/>
  <c r="U58" i="1"/>
  <c r="T58" i="1"/>
  <c r="S58" i="1"/>
  <c r="R58" i="1"/>
  <c r="Q58" i="1"/>
  <c r="P58" i="1"/>
  <c r="X57" i="1"/>
  <c r="W57" i="1"/>
  <c r="V57" i="1"/>
  <c r="U57" i="1"/>
  <c r="T57" i="1"/>
  <c r="S57" i="1"/>
  <c r="R57" i="1"/>
  <c r="Q57" i="1"/>
  <c r="P57" i="1"/>
  <c r="X56" i="1"/>
  <c r="W56" i="1"/>
  <c r="V56" i="1"/>
  <c r="U56" i="1"/>
  <c r="T56" i="1"/>
  <c r="S56" i="1"/>
  <c r="R56" i="1"/>
  <c r="Q56" i="1"/>
  <c r="P56" i="1"/>
  <c r="X55" i="1"/>
  <c r="W55" i="1"/>
  <c r="V55" i="1"/>
  <c r="U55" i="1"/>
  <c r="T55" i="1"/>
  <c r="S55" i="1"/>
  <c r="R55" i="1"/>
  <c r="Q55" i="1"/>
  <c r="P55" i="1"/>
  <c r="X54" i="1"/>
  <c r="W54" i="1"/>
  <c r="V54" i="1"/>
  <c r="U54" i="1"/>
  <c r="T54" i="1"/>
  <c r="S54" i="1"/>
  <c r="R54" i="1"/>
  <c r="Q54" i="1"/>
  <c r="P54" i="1"/>
  <c r="X53" i="1"/>
  <c r="W53" i="1"/>
  <c r="V53" i="1"/>
  <c r="U53" i="1"/>
  <c r="T53" i="1"/>
  <c r="S53" i="1"/>
  <c r="R53" i="1"/>
  <c r="Q53" i="1"/>
  <c r="P53" i="1"/>
  <c r="X52" i="1"/>
  <c r="W52" i="1"/>
  <c r="V52" i="1"/>
  <c r="U52" i="1"/>
  <c r="T52" i="1"/>
  <c r="S52" i="1"/>
  <c r="R52" i="1"/>
  <c r="Q52" i="1"/>
  <c r="P52" i="1"/>
  <c r="X51" i="1"/>
  <c r="W51" i="1"/>
  <c r="V51" i="1"/>
  <c r="U51" i="1"/>
  <c r="T51" i="1"/>
  <c r="S51" i="1"/>
  <c r="R51" i="1"/>
  <c r="Q51" i="1"/>
  <c r="P51" i="1"/>
  <c r="X50" i="1"/>
  <c r="W50" i="1"/>
  <c r="V50" i="1"/>
  <c r="U50" i="1"/>
  <c r="T50" i="1"/>
  <c r="S50" i="1"/>
  <c r="R50" i="1"/>
  <c r="Q50" i="1"/>
  <c r="P50" i="1"/>
</calcChain>
</file>

<file path=xl/sharedStrings.xml><?xml version="1.0" encoding="utf-8"?>
<sst xmlns="http://schemas.openxmlformats.org/spreadsheetml/2006/main" count="45" uniqueCount="13">
  <si>
    <t>yvar</t>
  </si>
  <si>
    <t>prov</t>
  </si>
  <si>
    <t>lab_total</t>
  </si>
  <si>
    <t>lab_manuf</t>
  </si>
  <si>
    <t>lab_total_hs</t>
  </si>
  <si>
    <t>lab_total_ms</t>
  </si>
  <si>
    <t>lab_total_oth</t>
  </si>
  <si>
    <t>lab_total_te</t>
  </si>
  <si>
    <t>lab_manuf_hs</t>
  </si>
  <si>
    <t>lab_manuf_ms</t>
  </si>
  <si>
    <t>lab_manuf_oth</t>
  </si>
  <si>
    <t>lab_manuf_te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</si>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</sst>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3515-50A1-3E45-8F2A-F8DA057B2E4B}">
  <dimension ref="A3:X96"/>
  <sheetViews>
    <sheetView tabSelected="1" zoomScale="75" workbookViewId="0">
      <selection activeCell="C49" sqref="C49:L49"/>
    </sheetView>
  </sheetViews>
  <sheetFormatPr baseColWidth="10" defaultRowHeight="16" x14ac:dyDescent="0.2"/>
  <cols>
    <col min="1" max="13" width="10.7109375" style="1"/>
    <col min="14" max="14" width="13.42578125" style="1" bestFit="1" customWidth="1"/>
    <col min="15" max="15" width="14.5703125" style="1" bestFit="1" customWidth="1"/>
    <col min="16" max="16" width="16.140625" style="1" bestFit="1" customWidth="1"/>
    <col min="17" max="17" width="17.7109375" style="1" bestFit="1" customWidth="1"/>
    <col min="18" max="19" width="18.28515625" style="1" bestFit="1" customWidth="1"/>
    <col min="20" max="20" width="17.28515625" style="1" bestFit="1" customWidth="1"/>
    <col min="21" max="21" width="19" style="1" bestFit="1" customWidth="1"/>
    <col min="22" max="23" width="19.5703125" style="1" bestFit="1" customWidth="1"/>
    <col min="24" max="24" width="18.5703125" style="1" bestFit="1" customWidth="1"/>
    <col min="25" max="16384" width="10.7109375" style="1"/>
  </cols>
  <sheetData>
    <row r="3" spans="1:12" x14ac:dyDescent="0.2">
      <c r="A3" s="1" t="s">
        <v>1</v>
      </c>
      <c r="B3" s="1" t="s">
        <v>0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2">
      <c r="A4" s="1">
        <v>94</v>
      </c>
      <c r="B4" s="1">
        <v>2002</v>
      </c>
      <c r="C4" s="1">
        <v>775836</v>
      </c>
      <c r="D4" s="1">
        <v>3646</v>
      </c>
      <c r="E4" s="1">
        <v>94138</v>
      </c>
      <c r="F4" s="1">
        <v>108450</v>
      </c>
      <c r="G4" s="1">
        <v>565188</v>
      </c>
      <c r="H4" s="1">
        <v>8060</v>
      </c>
      <c r="I4" s="1">
        <v>1576</v>
      </c>
      <c r="J4" s="1">
        <v>988</v>
      </c>
      <c r="K4" s="1">
        <v>1082</v>
      </c>
      <c r="L4" s="1">
        <v>0</v>
      </c>
    </row>
    <row r="5" spans="1:12" x14ac:dyDescent="0.2">
      <c r="A5" s="1">
        <v>94</v>
      </c>
      <c r="B5" s="1">
        <v>2003</v>
      </c>
      <c r="C5" s="1">
        <v>840065</v>
      </c>
      <c r="D5" s="1">
        <v>3262</v>
      </c>
      <c r="E5" s="1">
        <v>83822</v>
      </c>
      <c r="F5" s="1">
        <v>112126</v>
      </c>
      <c r="G5" s="1">
        <v>628562</v>
      </c>
      <c r="H5" s="1">
        <v>15555</v>
      </c>
      <c r="I5" s="1">
        <v>2264</v>
      </c>
      <c r="J5" s="1">
        <v>0</v>
      </c>
      <c r="K5" s="1">
        <v>998</v>
      </c>
      <c r="L5" s="1">
        <v>0</v>
      </c>
    </row>
    <row r="6" spans="1:12" x14ac:dyDescent="0.2">
      <c r="A6" s="1">
        <v>94</v>
      </c>
      <c r="B6" s="1">
        <v>2004</v>
      </c>
      <c r="C6" s="1">
        <v>824872</v>
      </c>
      <c r="D6" s="1">
        <v>1710</v>
      </c>
      <c r="E6" s="1">
        <v>97595</v>
      </c>
      <c r="F6" s="1">
        <v>123842</v>
      </c>
      <c r="G6" s="1">
        <v>587154</v>
      </c>
      <c r="H6" s="1">
        <v>16281</v>
      </c>
      <c r="I6" s="1">
        <v>855</v>
      </c>
      <c r="J6" s="1">
        <v>0</v>
      </c>
      <c r="K6" s="1">
        <v>855</v>
      </c>
      <c r="L6" s="1">
        <v>0</v>
      </c>
    </row>
    <row r="7" spans="1:12" x14ac:dyDescent="0.2">
      <c r="A7" s="1">
        <v>94</v>
      </c>
      <c r="B7" s="1">
        <v>2005</v>
      </c>
      <c r="C7" s="1">
        <v>948767</v>
      </c>
      <c r="D7" s="1">
        <v>4401</v>
      </c>
      <c r="E7" s="1">
        <v>126602</v>
      </c>
      <c r="F7" s="1">
        <v>307542</v>
      </c>
      <c r="G7" s="1">
        <v>485500</v>
      </c>
      <c r="H7" s="1">
        <v>29123</v>
      </c>
      <c r="I7" s="1">
        <v>2130</v>
      </c>
      <c r="J7" s="1">
        <v>1531</v>
      </c>
      <c r="K7" s="1">
        <v>333</v>
      </c>
      <c r="L7" s="1">
        <v>407</v>
      </c>
    </row>
    <row r="8" spans="1:12" x14ac:dyDescent="0.2">
      <c r="A8" s="1">
        <v>94</v>
      </c>
      <c r="B8" s="1">
        <v>2006</v>
      </c>
      <c r="C8" s="1">
        <v>852577</v>
      </c>
      <c r="D8" s="1">
        <v>16657</v>
      </c>
      <c r="E8" s="1">
        <v>117664</v>
      </c>
      <c r="F8" s="1">
        <v>125736</v>
      </c>
      <c r="G8" s="1">
        <v>577844</v>
      </c>
      <c r="H8" s="1">
        <v>31333</v>
      </c>
      <c r="I8" s="1">
        <v>2369</v>
      </c>
      <c r="J8" s="1">
        <v>1731</v>
      </c>
      <c r="K8" s="1">
        <v>11025</v>
      </c>
      <c r="L8" s="1">
        <v>1532</v>
      </c>
    </row>
    <row r="9" spans="1:12" x14ac:dyDescent="0.2">
      <c r="A9" s="1">
        <v>94</v>
      </c>
      <c r="B9" s="1">
        <v>2007</v>
      </c>
      <c r="C9" s="1">
        <v>941100</v>
      </c>
      <c r="D9" s="1">
        <v>18403</v>
      </c>
      <c r="E9" s="1">
        <v>137436</v>
      </c>
      <c r="F9" s="1">
        <v>124787</v>
      </c>
      <c r="G9" s="1">
        <v>635189</v>
      </c>
      <c r="H9" s="1">
        <v>43688</v>
      </c>
      <c r="I9" s="1">
        <v>6542</v>
      </c>
      <c r="J9" s="1">
        <v>4046</v>
      </c>
      <c r="K9" s="1">
        <v>6391</v>
      </c>
      <c r="L9" s="1">
        <v>1424</v>
      </c>
    </row>
    <row r="10" spans="1:12" x14ac:dyDescent="0.2">
      <c r="A10" s="1">
        <v>94</v>
      </c>
      <c r="B10" s="1">
        <v>2008</v>
      </c>
      <c r="C10" s="1">
        <v>1028023</v>
      </c>
      <c r="D10" s="1">
        <v>16923</v>
      </c>
      <c r="E10" s="1">
        <v>146068</v>
      </c>
      <c r="F10" s="1">
        <v>122632</v>
      </c>
      <c r="G10" s="1">
        <v>707907</v>
      </c>
      <c r="H10" s="1">
        <v>51416</v>
      </c>
      <c r="I10" s="1">
        <v>4405</v>
      </c>
      <c r="J10" s="1">
        <v>3337</v>
      </c>
      <c r="K10" s="1">
        <v>8759</v>
      </c>
      <c r="L10" s="1">
        <v>422</v>
      </c>
    </row>
    <row r="11" spans="1:12" x14ac:dyDescent="0.2">
      <c r="A11" s="1">
        <v>94</v>
      </c>
      <c r="B11" s="1">
        <v>2009</v>
      </c>
      <c r="C11" s="1">
        <v>1082028</v>
      </c>
      <c r="D11" s="1">
        <v>19070</v>
      </c>
      <c r="E11" s="1">
        <v>166810</v>
      </c>
      <c r="F11" s="1">
        <v>136351</v>
      </c>
      <c r="G11" s="1">
        <v>729151</v>
      </c>
      <c r="H11" s="1">
        <v>49716</v>
      </c>
      <c r="I11" s="1">
        <v>5566</v>
      </c>
      <c r="J11" s="1">
        <v>4970</v>
      </c>
      <c r="K11" s="1">
        <v>7230</v>
      </c>
      <c r="L11" s="1">
        <v>1304</v>
      </c>
    </row>
    <row r="12" spans="1:12" x14ac:dyDescent="0.2">
      <c r="A12" s="1">
        <v>94</v>
      </c>
      <c r="B12" s="1">
        <v>2010</v>
      </c>
      <c r="C12" s="1">
        <v>1456545</v>
      </c>
      <c r="D12" s="1">
        <v>18218</v>
      </c>
      <c r="E12" s="1">
        <v>193625</v>
      </c>
      <c r="F12" s="1">
        <v>158357</v>
      </c>
      <c r="G12" s="1">
        <v>1045238</v>
      </c>
      <c r="H12" s="1">
        <v>59325</v>
      </c>
      <c r="I12" s="1">
        <v>8754</v>
      </c>
      <c r="J12" s="1">
        <v>2816</v>
      </c>
      <c r="K12" s="1">
        <v>5224</v>
      </c>
      <c r="L12" s="1">
        <v>1424</v>
      </c>
    </row>
    <row r="13" spans="1:12" x14ac:dyDescent="0.2">
      <c r="A13" s="1">
        <v>94</v>
      </c>
      <c r="B13" s="1">
        <v>2011</v>
      </c>
      <c r="C13" s="1">
        <v>1476227</v>
      </c>
      <c r="D13" s="1">
        <v>19885</v>
      </c>
      <c r="E13" s="1">
        <v>262276</v>
      </c>
      <c r="F13" s="1">
        <v>190236</v>
      </c>
      <c r="G13" s="1">
        <v>926165</v>
      </c>
      <c r="H13" s="1">
        <v>97550</v>
      </c>
      <c r="I13" s="1">
        <v>8024</v>
      </c>
      <c r="J13" s="1">
        <v>4756</v>
      </c>
      <c r="K13" s="1">
        <v>5373</v>
      </c>
      <c r="L13" s="1">
        <v>1732</v>
      </c>
    </row>
    <row r="14" spans="1:12" x14ac:dyDescent="0.2">
      <c r="A14" s="1">
        <v>94</v>
      </c>
      <c r="B14" s="1">
        <v>2012</v>
      </c>
      <c r="C14" s="1">
        <v>1527933</v>
      </c>
      <c r="D14" s="1">
        <v>16998</v>
      </c>
      <c r="E14" s="1">
        <v>267607</v>
      </c>
      <c r="F14" s="1">
        <v>12027</v>
      </c>
      <c r="G14" s="1">
        <v>1155527</v>
      </c>
      <c r="H14" s="1">
        <v>92772</v>
      </c>
      <c r="I14" s="1">
        <v>7489</v>
      </c>
      <c r="J14" s="1">
        <v>33</v>
      </c>
      <c r="K14" s="1">
        <v>9151</v>
      </c>
      <c r="L14" s="1">
        <v>325</v>
      </c>
    </row>
    <row r="15" spans="1:12" x14ac:dyDescent="0.2">
      <c r="A15" s="1">
        <v>94</v>
      </c>
      <c r="B15" s="1">
        <v>2013</v>
      </c>
      <c r="C15" s="1">
        <v>1559675</v>
      </c>
      <c r="D15" s="1">
        <v>21496</v>
      </c>
      <c r="E15" s="1">
        <v>268566</v>
      </c>
      <c r="F15" s="1">
        <v>175168</v>
      </c>
      <c r="G15" s="1">
        <v>1017827</v>
      </c>
      <c r="H15" s="1">
        <v>98114</v>
      </c>
      <c r="I15" s="1">
        <v>9100</v>
      </c>
      <c r="J15" s="1">
        <v>4340</v>
      </c>
      <c r="K15" s="1">
        <v>7077</v>
      </c>
      <c r="L15" s="1">
        <v>979</v>
      </c>
    </row>
    <row r="16" spans="1:12" x14ac:dyDescent="0.2">
      <c r="A16" s="1">
        <v>94</v>
      </c>
      <c r="B16" s="1">
        <v>2014</v>
      </c>
      <c r="C16" s="1">
        <v>1617437</v>
      </c>
      <c r="D16" s="1">
        <v>16048</v>
      </c>
      <c r="E16" s="1">
        <v>271578</v>
      </c>
      <c r="F16" s="1">
        <v>215762</v>
      </c>
      <c r="G16" s="1">
        <v>1038420</v>
      </c>
      <c r="H16" s="1">
        <v>91677</v>
      </c>
      <c r="I16" s="1">
        <v>5840</v>
      </c>
      <c r="J16" s="1">
        <v>3278</v>
      </c>
      <c r="K16" s="1">
        <v>6275</v>
      </c>
      <c r="L16" s="1">
        <v>655</v>
      </c>
    </row>
    <row r="17" spans="1:12" x14ac:dyDescent="0.2">
      <c r="A17" s="1">
        <v>94</v>
      </c>
      <c r="B17" s="1">
        <v>2015</v>
      </c>
      <c r="C17" s="1">
        <v>1672480</v>
      </c>
      <c r="D17" s="1">
        <v>16182</v>
      </c>
      <c r="E17" s="1">
        <v>288315</v>
      </c>
      <c r="F17" s="1">
        <v>219351</v>
      </c>
      <c r="G17" s="1">
        <v>1059190</v>
      </c>
      <c r="H17" s="1">
        <v>105624</v>
      </c>
      <c r="I17" s="1">
        <v>4726</v>
      </c>
      <c r="J17" s="1">
        <v>3847</v>
      </c>
      <c r="K17" s="1">
        <v>6620</v>
      </c>
      <c r="L17" s="1">
        <v>989</v>
      </c>
    </row>
    <row r="18" spans="1:12" x14ac:dyDescent="0.2">
      <c r="A18" s="1">
        <v>94</v>
      </c>
      <c r="B18" s="1">
        <v>2017</v>
      </c>
      <c r="C18" s="1">
        <v>1699071</v>
      </c>
      <c r="D18" s="1">
        <v>37917</v>
      </c>
      <c r="E18" s="1">
        <v>328090</v>
      </c>
      <c r="F18" s="1">
        <v>217902</v>
      </c>
      <c r="G18" s="1">
        <v>999952</v>
      </c>
      <c r="H18" s="1">
        <v>153127</v>
      </c>
      <c r="I18" s="1">
        <v>13719</v>
      </c>
      <c r="J18" s="1">
        <v>6248</v>
      </c>
      <c r="K18" s="1">
        <v>14640</v>
      </c>
      <c r="L18" s="1">
        <v>3310</v>
      </c>
    </row>
    <row r="19" spans="1:12" x14ac:dyDescent="0.2">
      <c r="A19" s="1">
        <v>94</v>
      </c>
      <c r="B19" s="1">
        <v>2018</v>
      </c>
      <c r="C19" s="1">
        <v>1777207</v>
      </c>
      <c r="D19" s="1">
        <v>32633</v>
      </c>
      <c r="E19" s="1">
        <v>366285</v>
      </c>
      <c r="F19" s="1">
        <v>230501</v>
      </c>
      <c r="G19" s="1">
        <v>1017243</v>
      </c>
      <c r="H19" s="1">
        <v>163178</v>
      </c>
      <c r="I19" s="1">
        <v>13475</v>
      </c>
      <c r="J19" s="1">
        <v>9203</v>
      </c>
      <c r="K19" s="1">
        <v>8510</v>
      </c>
      <c r="L19" s="1">
        <v>1445</v>
      </c>
    </row>
    <row r="20" spans="1:12" x14ac:dyDescent="0.2">
      <c r="A20" s="1">
        <v>94</v>
      </c>
      <c r="B20" s="1">
        <v>2019</v>
      </c>
      <c r="C20" s="1">
        <v>1775030</v>
      </c>
      <c r="D20" s="1">
        <v>35858</v>
      </c>
      <c r="E20" s="1">
        <v>371649</v>
      </c>
      <c r="F20" s="1">
        <v>207203</v>
      </c>
      <c r="G20" s="1">
        <v>1036540</v>
      </c>
      <c r="H20" s="1">
        <v>159638</v>
      </c>
      <c r="I20" s="1">
        <v>15692</v>
      </c>
      <c r="J20" s="1">
        <v>5377</v>
      </c>
      <c r="K20" s="1">
        <v>12532</v>
      </c>
      <c r="L20" s="1">
        <v>2257</v>
      </c>
    </row>
    <row r="21" spans="1:12" x14ac:dyDescent="0.2">
      <c r="A21" s="1">
        <v>94</v>
      </c>
      <c r="B21" s="1">
        <v>2020</v>
      </c>
      <c r="C21" s="1">
        <v>1608404</v>
      </c>
      <c r="D21" s="1">
        <v>34399</v>
      </c>
      <c r="E21" s="1">
        <v>343696</v>
      </c>
      <c r="F21" s="1">
        <v>195000</v>
      </c>
      <c r="G21" s="1">
        <v>910918</v>
      </c>
      <c r="H21" s="1">
        <v>158790</v>
      </c>
      <c r="I21" s="1">
        <v>13429</v>
      </c>
      <c r="J21" s="1">
        <v>5340</v>
      </c>
      <c r="K21" s="1">
        <v>14107</v>
      </c>
      <c r="L21" s="1">
        <v>1523</v>
      </c>
    </row>
    <row r="22" spans="1:12" x14ac:dyDescent="0.2">
      <c r="A22" s="1">
        <v>94</v>
      </c>
      <c r="B22" s="1">
        <v>2021</v>
      </c>
      <c r="C22" s="1">
        <v>1807973</v>
      </c>
      <c r="D22" s="1">
        <v>31505</v>
      </c>
      <c r="E22" s="1">
        <v>389070</v>
      </c>
      <c r="F22" s="1">
        <v>220765</v>
      </c>
      <c r="G22" s="1">
        <v>1026701</v>
      </c>
      <c r="H22" s="1">
        <v>171437</v>
      </c>
      <c r="I22" s="1">
        <v>13861</v>
      </c>
      <c r="J22" s="1">
        <v>4901</v>
      </c>
      <c r="K22" s="1">
        <v>11329</v>
      </c>
      <c r="L22" s="1">
        <v>1414</v>
      </c>
    </row>
    <row r="23" spans="1:12" x14ac:dyDescent="0.2">
      <c r="A23" s="1">
        <v>94</v>
      </c>
      <c r="B23" s="1">
        <v>2022</v>
      </c>
      <c r="C23" s="1">
        <v>1841719</v>
      </c>
      <c r="D23" s="1">
        <v>28735</v>
      </c>
      <c r="E23" s="1">
        <v>362498</v>
      </c>
      <c r="F23" s="1">
        <v>243134</v>
      </c>
      <c r="G23" s="1">
        <v>1109324</v>
      </c>
      <c r="H23" s="1">
        <v>126763</v>
      </c>
      <c r="I23" s="1">
        <v>13167</v>
      </c>
      <c r="J23" s="1">
        <v>4043</v>
      </c>
      <c r="K23" s="1">
        <v>10545</v>
      </c>
      <c r="L23" s="1">
        <v>980</v>
      </c>
    </row>
    <row r="24" spans="1:12" x14ac:dyDescent="0.2">
      <c r="A24" s="1">
        <v>94</v>
      </c>
      <c r="B24" s="1">
        <v>2023</v>
      </c>
      <c r="C24" s="1">
        <v>2230117</v>
      </c>
      <c r="D24" s="1">
        <v>34076</v>
      </c>
      <c r="E24" s="1">
        <v>421318</v>
      </c>
      <c r="F24" s="1">
        <v>251393</v>
      </c>
      <c r="G24" s="1">
        <v>1388641</v>
      </c>
      <c r="H24" s="1">
        <v>168765</v>
      </c>
      <c r="I24" s="1">
        <v>17059</v>
      </c>
      <c r="J24" s="1">
        <v>4361</v>
      </c>
      <c r="K24" s="1">
        <v>9527</v>
      </c>
      <c r="L24" s="1">
        <v>3129</v>
      </c>
    </row>
    <row r="25" spans="1:12" x14ac:dyDescent="0.2">
      <c r="A25" s="1">
        <v>91</v>
      </c>
      <c r="B25" s="1">
        <v>2001</v>
      </c>
      <c r="C25" s="1">
        <v>987530</v>
      </c>
      <c r="D25" s="1">
        <v>14496</v>
      </c>
      <c r="E25" s="1">
        <v>158592</v>
      </c>
      <c r="F25" s="1">
        <v>135944</v>
      </c>
      <c r="G25" s="1">
        <v>655224</v>
      </c>
      <c r="H25" s="1">
        <v>37770</v>
      </c>
      <c r="I25" s="1">
        <v>6250</v>
      </c>
      <c r="J25" s="1">
        <v>2894</v>
      </c>
      <c r="K25" s="1">
        <v>4184</v>
      </c>
      <c r="L25" s="1">
        <v>1168</v>
      </c>
    </row>
    <row r="26" spans="1:12" x14ac:dyDescent="0.2">
      <c r="A26" s="1">
        <v>91</v>
      </c>
      <c r="B26" s="1">
        <v>2002</v>
      </c>
      <c r="C26" s="1">
        <v>294636</v>
      </c>
      <c r="D26" s="1">
        <v>9112</v>
      </c>
      <c r="E26" s="1">
        <v>46270</v>
      </c>
      <c r="F26" s="1">
        <v>54546</v>
      </c>
      <c r="G26" s="1">
        <v>188614</v>
      </c>
      <c r="H26" s="1">
        <v>5206</v>
      </c>
      <c r="I26" s="1">
        <v>5254</v>
      </c>
      <c r="J26" s="1">
        <v>2572</v>
      </c>
      <c r="K26" s="1">
        <v>988</v>
      </c>
      <c r="L26" s="1">
        <v>298</v>
      </c>
    </row>
    <row r="27" spans="1:12" x14ac:dyDescent="0.2">
      <c r="A27" s="1">
        <v>91</v>
      </c>
      <c r="B27" s="1">
        <v>2003</v>
      </c>
      <c r="C27" s="1">
        <v>248555</v>
      </c>
      <c r="D27" s="1">
        <v>998</v>
      </c>
      <c r="E27" s="1">
        <v>51175</v>
      </c>
      <c r="F27" s="1">
        <v>60556</v>
      </c>
      <c r="G27" s="1">
        <v>122664</v>
      </c>
      <c r="H27" s="1">
        <v>14160</v>
      </c>
      <c r="I27" s="1">
        <v>998</v>
      </c>
      <c r="J27" s="1">
        <v>0</v>
      </c>
      <c r="K27" s="1">
        <v>0</v>
      </c>
      <c r="L27" s="1">
        <v>0</v>
      </c>
    </row>
    <row r="28" spans="1:12" x14ac:dyDescent="0.2">
      <c r="A28" s="1">
        <v>91</v>
      </c>
      <c r="B28" s="1">
        <v>2004</v>
      </c>
      <c r="C28" s="1">
        <v>318774</v>
      </c>
      <c r="D28" s="1">
        <v>4766</v>
      </c>
      <c r="E28" s="1">
        <v>54864</v>
      </c>
      <c r="F28" s="1">
        <v>82459</v>
      </c>
      <c r="G28" s="1">
        <v>171828</v>
      </c>
      <c r="H28" s="1">
        <v>9623</v>
      </c>
      <c r="I28" s="1">
        <v>2474</v>
      </c>
      <c r="J28" s="1">
        <v>1528</v>
      </c>
      <c r="K28" s="1">
        <v>764</v>
      </c>
      <c r="L28" s="1">
        <v>0</v>
      </c>
    </row>
    <row r="29" spans="1:12" x14ac:dyDescent="0.2">
      <c r="A29" s="1">
        <v>91</v>
      </c>
      <c r="B29" s="1">
        <v>2005</v>
      </c>
      <c r="C29" s="1">
        <v>277782</v>
      </c>
      <c r="D29" s="1">
        <v>4998</v>
      </c>
      <c r="E29" s="1">
        <v>55699</v>
      </c>
      <c r="F29" s="1">
        <v>145383</v>
      </c>
      <c r="G29" s="1">
        <v>64461</v>
      </c>
      <c r="H29" s="1">
        <v>12239</v>
      </c>
      <c r="I29" s="1">
        <v>3449</v>
      </c>
      <c r="J29" s="1">
        <v>1549</v>
      </c>
      <c r="K29" s="1">
        <v>0</v>
      </c>
      <c r="L29" s="1">
        <v>0</v>
      </c>
    </row>
    <row r="30" spans="1:12" x14ac:dyDescent="0.2">
      <c r="A30" s="1">
        <v>91</v>
      </c>
      <c r="B30" s="1">
        <v>2006</v>
      </c>
      <c r="C30" s="1">
        <v>280705</v>
      </c>
      <c r="D30" s="1">
        <v>0</v>
      </c>
      <c r="E30" s="1">
        <v>63933</v>
      </c>
      <c r="F30" s="1">
        <v>59824</v>
      </c>
      <c r="G30" s="1">
        <v>139575</v>
      </c>
      <c r="H30" s="1">
        <v>17373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">
      <c r="A31" s="1">
        <v>91</v>
      </c>
      <c r="B31" s="1">
        <v>2007</v>
      </c>
      <c r="C31" s="1">
        <v>268117</v>
      </c>
      <c r="D31" s="1">
        <v>9904</v>
      </c>
      <c r="E31" s="1">
        <v>66147</v>
      </c>
      <c r="F31" s="1">
        <v>53473</v>
      </c>
      <c r="G31" s="1">
        <v>128616</v>
      </c>
      <c r="H31" s="1">
        <v>19881</v>
      </c>
      <c r="I31" s="1">
        <v>4387</v>
      </c>
      <c r="J31" s="1">
        <v>2572</v>
      </c>
      <c r="K31" s="1">
        <v>2620</v>
      </c>
      <c r="L31" s="1">
        <v>325</v>
      </c>
    </row>
    <row r="32" spans="1:12" x14ac:dyDescent="0.2">
      <c r="A32" s="1">
        <v>91</v>
      </c>
      <c r="B32" s="1">
        <v>2008</v>
      </c>
      <c r="C32" s="1">
        <v>316193</v>
      </c>
      <c r="D32" s="1">
        <v>11348</v>
      </c>
      <c r="E32" s="1">
        <v>71963</v>
      </c>
      <c r="F32" s="1">
        <v>65719</v>
      </c>
      <c r="G32" s="1">
        <v>155769</v>
      </c>
      <c r="H32" s="1">
        <v>22742</v>
      </c>
      <c r="I32" s="1">
        <v>3714</v>
      </c>
      <c r="J32" s="1">
        <v>3590</v>
      </c>
      <c r="K32" s="1">
        <v>3103</v>
      </c>
      <c r="L32" s="1">
        <v>941</v>
      </c>
    </row>
    <row r="33" spans="1:24" x14ac:dyDescent="0.2">
      <c r="A33" s="1">
        <v>91</v>
      </c>
      <c r="B33" s="1">
        <v>2009</v>
      </c>
      <c r="C33" s="1">
        <v>325759</v>
      </c>
      <c r="D33" s="1">
        <v>12173</v>
      </c>
      <c r="E33" s="1">
        <v>77078</v>
      </c>
      <c r="F33" s="1">
        <v>54145</v>
      </c>
      <c r="G33" s="1">
        <v>166499</v>
      </c>
      <c r="H33" s="1">
        <v>28037</v>
      </c>
      <c r="I33" s="1">
        <v>4337</v>
      </c>
      <c r="J33" s="1">
        <v>3039</v>
      </c>
      <c r="K33" s="1">
        <v>4392</v>
      </c>
      <c r="L33" s="1">
        <v>405</v>
      </c>
    </row>
    <row r="34" spans="1:24" x14ac:dyDescent="0.2">
      <c r="A34" s="1">
        <v>91</v>
      </c>
      <c r="B34" s="1">
        <v>2010</v>
      </c>
      <c r="C34" s="1">
        <v>316547</v>
      </c>
      <c r="D34" s="1">
        <v>12300</v>
      </c>
      <c r="E34" s="1">
        <v>72873</v>
      </c>
      <c r="F34" s="1">
        <v>57979</v>
      </c>
      <c r="G34" s="1">
        <v>155626</v>
      </c>
      <c r="H34" s="1">
        <v>30069</v>
      </c>
      <c r="I34" s="1">
        <v>4615</v>
      </c>
      <c r="J34" s="1">
        <v>4517</v>
      </c>
      <c r="K34" s="1">
        <v>3072</v>
      </c>
      <c r="L34" s="1">
        <v>96</v>
      </c>
    </row>
    <row r="35" spans="1:24" x14ac:dyDescent="0.2">
      <c r="A35" s="1">
        <v>91</v>
      </c>
      <c r="B35" s="1">
        <v>2011</v>
      </c>
      <c r="C35" s="1">
        <v>336588</v>
      </c>
      <c r="D35" s="1">
        <v>11580</v>
      </c>
      <c r="E35" s="1">
        <v>89108</v>
      </c>
      <c r="F35" s="1">
        <v>53539</v>
      </c>
      <c r="G35" s="1">
        <v>156966</v>
      </c>
      <c r="H35" s="1">
        <v>36975</v>
      </c>
      <c r="I35" s="1">
        <v>4281</v>
      </c>
      <c r="J35" s="1">
        <v>2585</v>
      </c>
      <c r="K35" s="1">
        <v>3958</v>
      </c>
      <c r="L35" s="1">
        <v>756</v>
      </c>
    </row>
    <row r="36" spans="1:24" x14ac:dyDescent="0.2">
      <c r="A36" s="1">
        <v>91</v>
      </c>
      <c r="B36" s="1">
        <v>2012</v>
      </c>
      <c r="C36" s="1">
        <v>341741</v>
      </c>
      <c r="D36" s="1">
        <v>17652</v>
      </c>
      <c r="E36" s="1">
        <v>97808</v>
      </c>
      <c r="F36" s="1">
        <v>4473</v>
      </c>
      <c r="G36" s="1">
        <v>201156</v>
      </c>
      <c r="H36" s="1">
        <v>38304</v>
      </c>
      <c r="I36" s="1">
        <v>8308</v>
      </c>
      <c r="J36" s="1">
        <v>175</v>
      </c>
      <c r="K36" s="1">
        <v>8280</v>
      </c>
      <c r="L36" s="1">
        <v>889</v>
      </c>
    </row>
    <row r="37" spans="1:24" x14ac:dyDescent="0.2">
      <c r="A37" s="1">
        <v>91</v>
      </c>
      <c r="B37" s="1">
        <v>2013</v>
      </c>
      <c r="C37" s="1">
        <v>359527</v>
      </c>
      <c r="D37" s="1">
        <v>12971</v>
      </c>
      <c r="E37" s="1">
        <v>103306</v>
      </c>
      <c r="F37" s="1">
        <v>63453</v>
      </c>
      <c r="G37" s="1">
        <v>146318</v>
      </c>
      <c r="H37" s="1">
        <v>46450</v>
      </c>
      <c r="I37" s="1">
        <v>5483</v>
      </c>
      <c r="J37" s="1">
        <v>3631</v>
      </c>
      <c r="K37" s="1">
        <v>2987</v>
      </c>
      <c r="L37" s="1">
        <v>870</v>
      </c>
    </row>
    <row r="38" spans="1:24" x14ac:dyDescent="0.2">
      <c r="A38" s="1">
        <v>91</v>
      </c>
      <c r="B38" s="1">
        <v>2014</v>
      </c>
      <c r="C38" s="1">
        <v>378436</v>
      </c>
      <c r="D38" s="1">
        <v>16682</v>
      </c>
      <c r="E38" s="1">
        <v>109270</v>
      </c>
      <c r="F38" s="1">
        <v>63109</v>
      </c>
      <c r="G38" s="1">
        <v>155245</v>
      </c>
      <c r="H38" s="1">
        <v>50812</v>
      </c>
      <c r="I38" s="1">
        <v>6366</v>
      </c>
      <c r="J38" s="1">
        <v>2805</v>
      </c>
      <c r="K38" s="1">
        <v>5213</v>
      </c>
      <c r="L38" s="1">
        <v>2298</v>
      </c>
    </row>
    <row r="39" spans="1:24" x14ac:dyDescent="0.2">
      <c r="A39" s="1">
        <v>91</v>
      </c>
      <c r="B39" s="1">
        <v>2015</v>
      </c>
      <c r="C39" s="1">
        <v>380226</v>
      </c>
      <c r="D39" s="1">
        <v>10357</v>
      </c>
      <c r="E39" s="1">
        <v>109797</v>
      </c>
      <c r="F39" s="1">
        <v>62717</v>
      </c>
      <c r="G39" s="1">
        <v>150093</v>
      </c>
      <c r="H39" s="1">
        <v>57619</v>
      </c>
      <c r="I39" s="1">
        <v>3753</v>
      </c>
      <c r="J39" s="1">
        <v>2601</v>
      </c>
      <c r="K39" s="1">
        <v>3239</v>
      </c>
      <c r="L39" s="1">
        <v>764</v>
      </c>
    </row>
    <row r="40" spans="1:24" x14ac:dyDescent="0.2">
      <c r="A40" s="1">
        <v>91</v>
      </c>
      <c r="B40" s="1">
        <v>2017</v>
      </c>
      <c r="C40" s="1">
        <v>402526</v>
      </c>
      <c r="D40" s="1">
        <v>21771</v>
      </c>
      <c r="E40" s="1">
        <v>126728</v>
      </c>
      <c r="F40" s="1">
        <v>65875</v>
      </c>
      <c r="G40" s="1">
        <v>138826</v>
      </c>
      <c r="H40" s="1">
        <v>71097</v>
      </c>
      <c r="I40" s="1">
        <v>9538</v>
      </c>
      <c r="J40" s="1">
        <v>4338</v>
      </c>
      <c r="K40" s="1">
        <v>7436</v>
      </c>
      <c r="L40" s="1">
        <v>459</v>
      </c>
    </row>
    <row r="41" spans="1:24" x14ac:dyDescent="0.2">
      <c r="A41" s="1">
        <v>91</v>
      </c>
      <c r="B41" s="1">
        <v>2018</v>
      </c>
      <c r="C41" s="1">
        <v>417544</v>
      </c>
      <c r="D41" s="1">
        <v>27814</v>
      </c>
      <c r="E41" s="1">
        <v>131654</v>
      </c>
      <c r="F41" s="1">
        <v>64009</v>
      </c>
      <c r="G41" s="1">
        <v>146463</v>
      </c>
      <c r="H41" s="1">
        <v>75418</v>
      </c>
      <c r="I41" s="1">
        <v>10726</v>
      </c>
      <c r="J41" s="1">
        <v>6098</v>
      </c>
      <c r="K41" s="1">
        <v>9561</v>
      </c>
      <c r="L41" s="1">
        <v>1429</v>
      </c>
    </row>
    <row r="42" spans="1:24" x14ac:dyDescent="0.2">
      <c r="A42" s="1">
        <v>91</v>
      </c>
      <c r="B42" s="1">
        <v>2019</v>
      </c>
      <c r="C42" s="1">
        <v>433401</v>
      </c>
      <c r="D42" s="1">
        <v>16968</v>
      </c>
      <c r="E42" s="1">
        <v>144307</v>
      </c>
      <c r="F42" s="1">
        <v>66716</v>
      </c>
      <c r="G42" s="1">
        <v>131463</v>
      </c>
      <c r="H42" s="1">
        <v>90915</v>
      </c>
      <c r="I42" s="1">
        <v>7323</v>
      </c>
      <c r="J42" s="1">
        <v>3092</v>
      </c>
      <c r="K42" s="1">
        <v>5021</v>
      </c>
      <c r="L42" s="1">
        <v>1532</v>
      </c>
    </row>
    <row r="43" spans="1:24" x14ac:dyDescent="0.2">
      <c r="A43" s="1">
        <v>91</v>
      </c>
      <c r="B43" s="1">
        <v>2020</v>
      </c>
      <c r="C43" s="1">
        <v>429590</v>
      </c>
      <c r="D43" s="1">
        <v>21531</v>
      </c>
      <c r="E43" s="1">
        <v>143977</v>
      </c>
      <c r="F43" s="1">
        <v>69340</v>
      </c>
      <c r="G43" s="1">
        <v>129939</v>
      </c>
      <c r="H43" s="1">
        <v>86334</v>
      </c>
      <c r="I43" s="1">
        <v>8442</v>
      </c>
      <c r="J43" s="1">
        <v>5045</v>
      </c>
      <c r="K43" s="1">
        <v>6631</v>
      </c>
      <c r="L43" s="1">
        <v>1413</v>
      </c>
    </row>
    <row r="44" spans="1:24" x14ac:dyDescent="0.2">
      <c r="A44" s="1">
        <v>91</v>
      </c>
      <c r="B44" s="1">
        <v>2021</v>
      </c>
      <c r="C44" s="1">
        <v>452507</v>
      </c>
      <c r="D44" s="1">
        <v>21573</v>
      </c>
      <c r="E44" s="1">
        <v>155137</v>
      </c>
      <c r="F44" s="1">
        <v>71792</v>
      </c>
      <c r="G44" s="1">
        <v>129485</v>
      </c>
      <c r="H44" s="1">
        <v>96093</v>
      </c>
      <c r="I44" s="1">
        <v>8762</v>
      </c>
      <c r="J44" s="1">
        <v>5173</v>
      </c>
      <c r="K44" s="1">
        <v>6604</v>
      </c>
      <c r="L44" s="1">
        <v>1034</v>
      </c>
    </row>
    <row r="45" spans="1:24" x14ac:dyDescent="0.2">
      <c r="A45" s="1">
        <v>91</v>
      </c>
      <c r="B45" s="1">
        <v>2022</v>
      </c>
      <c r="C45" s="1">
        <v>454924</v>
      </c>
      <c r="D45" s="1">
        <v>19421</v>
      </c>
      <c r="E45" s="1">
        <v>159482</v>
      </c>
      <c r="F45" s="1">
        <v>69241</v>
      </c>
      <c r="G45" s="1">
        <v>142555</v>
      </c>
      <c r="H45" s="1">
        <v>83646</v>
      </c>
      <c r="I45" s="1">
        <v>8609</v>
      </c>
      <c r="J45" s="1">
        <v>3348</v>
      </c>
      <c r="K45" s="1">
        <v>6531</v>
      </c>
      <c r="L45" s="1">
        <v>933</v>
      </c>
    </row>
    <row r="46" spans="1:24" x14ac:dyDescent="0.2">
      <c r="A46" s="1">
        <v>91</v>
      </c>
      <c r="B46" s="1">
        <v>2023</v>
      </c>
      <c r="C46" s="1">
        <v>505859</v>
      </c>
      <c r="D46" s="1">
        <v>23336</v>
      </c>
      <c r="E46" s="1">
        <v>182422</v>
      </c>
      <c r="F46" s="1">
        <v>77979</v>
      </c>
      <c r="G46" s="1">
        <v>144001</v>
      </c>
      <c r="H46" s="1">
        <v>101457</v>
      </c>
      <c r="I46" s="1">
        <v>9970</v>
      </c>
      <c r="J46" s="1">
        <v>5908</v>
      </c>
      <c r="K46" s="1">
        <v>6424</v>
      </c>
      <c r="L46" s="1">
        <v>1034</v>
      </c>
    </row>
    <row r="48" spans="1:24" x14ac:dyDescent="0.2">
      <c r="B48" s="1" t="s">
        <v>12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N48" s="1" t="s">
        <v>12</v>
      </c>
      <c r="O48" s="1" t="s">
        <v>2</v>
      </c>
      <c r="P48" s="1" t="s">
        <v>3</v>
      </c>
      <c r="Q48" s="1" t="s">
        <v>4</v>
      </c>
      <c r="R48" s="1" t="s">
        <v>5</v>
      </c>
      <c r="S48" s="1" t="s">
        <v>6</v>
      </c>
      <c r="T48" s="1" t="s">
        <v>7</v>
      </c>
      <c r="U48" s="1" t="s">
        <v>8</v>
      </c>
      <c r="V48" s="1" t="s">
        <v>9</v>
      </c>
      <c r="W48" s="1" t="s">
        <v>10</v>
      </c>
      <c r="X48" s="1" t="s">
        <v>11</v>
      </c>
    </row>
    <row r="49" spans="2:24" x14ac:dyDescent="0.2">
      <c r="B49" s="1">
        <v>2000</v>
      </c>
      <c r="C49" s="1">
        <f>O49*C74</f>
        <v>956392.44483210356</v>
      </c>
      <c r="D49" s="1">
        <f t="shared" ref="D49:L49" si="0">P49*D74</f>
        <v>9290.5286385125</v>
      </c>
      <c r="E49" s="1">
        <f t="shared" si="0"/>
        <v>139022.34952260077</v>
      </c>
      <c r="F49" s="1">
        <f t="shared" si="0"/>
        <v>151758.02627381941</v>
      </c>
      <c r="G49" s="1">
        <f t="shared" si="0"/>
        <v>596671.19313121063</v>
      </c>
      <c r="H49" s="1">
        <f t="shared" si="0"/>
        <v>12528.329744217112</v>
      </c>
      <c r="I49" s="1">
        <f t="shared" si="0"/>
        <v>4464.4726546315678</v>
      </c>
      <c r="J49" s="1">
        <f t="shared" si="0"/>
        <v>2128.7069545090621</v>
      </c>
      <c r="K49" s="1">
        <f t="shared" si="0"/>
        <v>1871.6970802210988</v>
      </c>
      <c r="L49" s="1">
        <f t="shared" si="0"/>
        <v>395.6029994942038</v>
      </c>
      <c r="N49" s="1">
        <v>0</v>
      </c>
      <c r="O49" s="2">
        <f>INTERCEPT(O50:O71,$N$50:$N$71)</f>
        <v>1.0645777056389376E-2</v>
      </c>
      <c r="P49" s="2">
        <f t="shared" ref="P49:X49" si="1">INTERCEPT(P50:P71,$N$50:$N$71)</f>
        <v>9.3584287180765047E-4</v>
      </c>
      <c r="Q49" s="2">
        <f t="shared" si="1"/>
        <v>8.6647579127124702E-3</v>
      </c>
      <c r="R49" s="2">
        <f t="shared" si="1"/>
        <v>1.084364035185837E-2</v>
      </c>
      <c r="S49" s="2">
        <f t="shared" si="1"/>
        <v>1.0316116904471425E-2</v>
      </c>
      <c r="T49" s="2">
        <f t="shared" si="1"/>
        <v>6.3942919096151799E-3</v>
      </c>
      <c r="U49" s="2">
        <f t="shared" si="1"/>
        <v>1.6212196987231225E-3</v>
      </c>
      <c r="V49" s="2">
        <f t="shared" si="1"/>
        <v>9.7638419081469907E-4</v>
      </c>
      <c r="W49" s="2">
        <f t="shared" si="1"/>
        <v>3.9066923374715744E-4</v>
      </c>
      <c r="X49" s="2">
        <f t="shared" si="1"/>
        <v>1.9538362735853996E-3</v>
      </c>
    </row>
    <row r="50" spans="2:24" x14ac:dyDescent="0.2">
      <c r="B50" s="1">
        <v>2001</v>
      </c>
      <c r="C50" s="1">
        <v>987530</v>
      </c>
      <c r="D50" s="1">
        <v>14496</v>
      </c>
      <c r="E50" s="1">
        <v>158592</v>
      </c>
      <c r="F50" s="1">
        <v>135944</v>
      </c>
      <c r="G50" s="1">
        <v>655224</v>
      </c>
      <c r="H50" s="1">
        <v>37770</v>
      </c>
      <c r="I50" s="1">
        <v>6250</v>
      </c>
      <c r="J50" s="1">
        <v>2894</v>
      </c>
      <c r="K50" s="1">
        <v>4184</v>
      </c>
      <c r="L50" s="1">
        <v>1168</v>
      </c>
      <c r="N50" s="1">
        <v>1</v>
      </c>
      <c r="O50" s="2">
        <f>C50/C75</f>
        <v>1.087499273324777E-2</v>
      </c>
      <c r="P50" s="2">
        <f t="shared" ref="P50:X65" si="2">D50/D75</f>
        <v>1.4717695592245106E-3</v>
      </c>
      <c r="Q50" s="2">
        <f t="shared" si="2"/>
        <v>1.0028918384137067E-2</v>
      </c>
      <c r="R50" s="2">
        <f t="shared" si="2"/>
        <v>9.0244692405363203E-3</v>
      </c>
      <c r="S50" s="2">
        <f t="shared" si="2"/>
        <v>1.1792323622492162E-2</v>
      </c>
      <c r="T50" s="2">
        <f t="shared" si="2"/>
        <v>8.650126763176157E-3</v>
      </c>
      <c r="U50" s="2">
        <f t="shared" si="2"/>
        <v>2.3035903575024806E-3</v>
      </c>
      <c r="V50" s="2">
        <f t="shared" si="2"/>
        <v>1.3342252756853349E-3</v>
      </c>
      <c r="W50" s="2">
        <f t="shared" si="2"/>
        <v>9.1148150818819303E-4</v>
      </c>
      <c r="X50" s="2">
        <f t="shared" si="2"/>
        <v>3.0995080061777865E-3</v>
      </c>
    </row>
    <row r="51" spans="2:24" x14ac:dyDescent="0.2">
      <c r="B51" s="1">
        <v>2002</v>
      </c>
      <c r="C51" s="1">
        <v>1070472</v>
      </c>
      <c r="D51" s="1">
        <v>12758</v>
      </c>
      <c r="E51" s="1">
        <v>140408</v>
      </c>
      <c r="F51" s="1">
        <v>162996</v>
      </c>
      <c r="G51" s="1">
        <v>753802</v>
      </c>
      <c r="H51" s="1">
        <v>13266</v>
      </c>
      <c r="I51" s="1">
        <v>6830</v>
      </c>
      <c r="J51" s="1">
        <v>3560</v>
      </c>
      <c r="K51" s="1">
        <v>2070</v>
      </c>
      <c r="L51" s="1">
        <v>298</v>
      </c>
      <c r="N51" s="1">
        <v>2</v>
      </c>
      <c r="O51" s="2">
        <f t="shared" ref="O49:O71" si="3">C51/C76</f>
        <v>1.1680361179962727E-2</v>
      </c>
      <c r="P51" s="2">
        <f t="shared" si="2"/>
        <v>1.2607916621331333E-3</v>
      </c>
      <c r="Q51" s="2">
        <f t="shared" si="2"/>
        <v>8.7273023816843501E-3</v>
      </c>
      <c r="R51" s="2">
        <f t="shared" si="2"/>
        <v>1.062384348804332E-2</v>
      </c>
      <c r="S51" s="2">
        <f t="shared" si="2"/>
        <v>1.2940401438066533E-2</v>
      </c>
      <c r="T51" s="2">
        <f t="shared" si="2"/>
        <v>6.7528323871257397E-3</v>
      </c>
      <c r="U51" s="2">
        <f t="shared" si="2"/>
        <v>2.4171155848393415E-3</v>
      </c>
      <c r="V51" s="2">
        <f t="shared" si="2"/>
        <v>1.5896625494704324E-3</v>
      </c>
      <c r="W51" s="2">
        <f t="shared" si="2"/>
        <v>4.2444360467035598E-4</v>
      </c>
      <c r="X51" s="2">
        <f t="shared" si="2"/>
        <v>1.6844247237373881E-3</v>
      </c>
    </row>
    <row r="52" spans="2:24" x14ac:dyDescent="0.2">
      <c r="B52" s="1">
        <v>2003</v>
      </c>
      <c r="C52" s="1">
        <v>1088620</v>
      </c>
      <c r="D52" s="1">
        <v>4260</v>
      </c>
      <c r="E52" s="1">
        <v>134997</v>
      </c>
      <c r="F52" s="1">
        <v>172682</v>
      </c>
      <c r="G52" s="1">
        <v>751226</v>
      </c>
      <c r="H52" s="1">
        <v>29715</v>
      </c>
      <c r="I52" s="1">
        <v>3262</v>
      </c>
      <c r="J52" s="1">
        <v>0</v>
      </c>
      <c r="K52" s="1">
        <v>998</v>
      </c>
      <c r="L52" s="1">
        <v>0</v>
      </c>
      <c r="N52" s="1">
        <v>3</v>
      </c>
      <c r="O52" s="2">
        <f t="shared" si="3"/>
        <v>1.17294550371842E-2</v>
      </c>
      <c r="P52" s="2">
        <f t="shared" si="2"/>
        <v>4.6144357314173098E-4</v>
      </c>
      <c r="Q52" s="2">
        <f t="shared" si="2"/>
        <v>7.9270260519573501E-3</v>
      </c>
      <c r="R52" s="2">
        <f t="shared" si="2"/>
        <v>9.297472326099088E-3</v>
      </c>
      <c r="S52" s="2">
        <f t="shared" si="2"/>
        <v>1.416980822058474E-2</v>
      </c>
      <c r="T52" s="2">
        <f t="shared" si="2"/>
        <v>7.0887437238436333E-3</v>
      </c>
      <c r="U52" s="2">
        <f t="shared" si="2"/>
        <v>1.1134287632578066E-3</v>
      </c>
      <c r="V52" s="2">
        <f t="shared" si="2"/>
        <v>0</v>
      </c>
      <c r="W52" s="2">
        <f t="shared" si="2"/>
        <v>2.6843940679732693E-4</v>
      </c>
      <c r="X52" s="2">
        <f t="shared" si="2"/>
        <v>0</v>
      </c>
    </row>
    <row r="53" spans="2:24" x14ac:dyDescent="0.2">
      <c r="B53" s="1">
        <v>2004</v>
      </c>
      <c r="C53" s="1">
        <v>1143646</v>
      </c>
      <c r="D53" s="1">
        <v>6476</v>
      </c>
      <c r="E53" s="1">
        <v>152459</v>
      </c>
      <c r="F53" s="1">
        <v>206301</v>
      </c>
      <c r="G53" s="1">
        <v>758982</v>
      </c>
      <c r="H53" s="1">
        <v>25904</v>
      </c>
      <c r="I53" s="1">
        <v>3329</v>
      </c>
      <c r="J53" s="1">
        <v>1528</v>
      </c>
      <c r="K53" s="1">
        <v>1619</v>
      </c>
      <c r="L53" s="1">
        <v>0</v>
      </c>
      <c r="N53" s="1">
        <v>4</v>
      </c>
      <c r="O53" s="2">
        <f t="shared" si="3"/>
        <v>1.2202530469995337E-2</v>
      </c>
      <c r="P53" s="2">
        <f t="shared" si="2"/>
        <v>6.9310460453277144E-4</v>
      </c>
      <c r="Q53" s="2">
        <f t="shared" si="2"/>
        <v>8.8184796658557461E-3</v>
      </c>
      <c r="R53" s="2">
        <f t="shared" si="2"/>
        <v>1.1107644288972877E-2</v>
      </c>
      <c r="S53" s="2">
        <f t="shared" si="2"/>
        <v>1.4329024134254851E-2</v>
      </c>
      <c r="T53" s="2">
        <f t="shared" si="2"/>
        <v>5.2947287974257282E-3</v>
      </c>
      <c r="U53" s="2">
        <f t="shared" si="2"/>
        <v>1.1847767751009676E-3</v>
      </c>
      <c r="V53" s="2">
        <f t="shared" si="2"/>
        <v>6.4782353761679793E-4</v>
      </c>
      <c r="W53" s="2">
        <f t="shared" si="2"/>
        <v>4.2841171450685685E-4</v>
      </c>
      <c r="X53" s="2">
        <f t="shared" si="2"/>
        <v>0</v>
      </c>
    </row>
    <row r="54" spans="2:24" x14ac:dyDescent="0.2">
      <c r="B54" s="1">
        <v>2005</v>
      </c>
      <c r="C54" s="1">
        <v>1226549</v>
      </c>
      <c r="D54" s="1">
        <v>9399</v>
      </c>
      <c r="E54" s="1">
        <v>182301</v>
      </c>
      <c r="F54" s="1">
        <v>452925</v>
      </c>
      <c r="G54" s="1">
        <v>549961</v>
      </c>
      <c r="H54" s="1">
        <v>41362</v>
      </c>
      <c r="I54" s="1">
        <v>5579</v>
      </c>
      <c r="J54" s="1">
        <v>3080</v>
      </c>
      <c r="K54" s="1">
        <v>333</v>
      </c>
      <c r="L54" s="1">
        <v>407</v>
      </c>
      <c r="N54" s="1">
        <v>5</v>
      </c>
      <c r="O54" s="2">
        <f t="shared" si="3"/>
        <v>1.3054172588126699E-2</v>
      </c>
      <c r="P54" s="2">
        <f t="shared" si="2"/>
        <v>9.4249912985038843E-4</v>
      </c>
      <c r="Q54" s="2">
        <f t="shared" si="2"/>
        <v>1.0371661294918989E-2</v>
      </c>
      <c r="R54" s="2">
        <f t="shared" si="2"/>
        <v>2.3681738763794674E-2</v>
      </c>
      <c r="S54" s="2">
        <f t="shared" si="2"/>
        <v>1.0563715409229997E-2</v>
      </c>
      <c r="T54" s="2">
        <f t="shared" si="2"/>
        <v>7.9622987215314904E-3</v>
      </c>
      <c r="U54" s="2">
        <f t="shared" si="2"/>
        <v>1.6640969954682513E-3</v>
      </c>
      <c r="V54" s="2">
        <f t="shared" si="2"/>
        <v>1.2914479311675025E-3</v>
      </c>
      <c r="W54" s="2">
        <f t="shared" si="2"/>
        <v>8.7949586135130714E-5</v>
      </c>
      <c r="X54" s="2">
        <f t="shared" si="2"/>
        <v>9.0711741710016629E-4</v>
      </c>
    </row>
    <row r="55" spans="2:24" x14ac:dyDescent="0.2">
      <c r="B55" s="1">
        <v>2006</v>
      </c>
      <c r="C55" s="1">
        <v>1133282</v>
      </c>
      <c r="D55" s="1">
        <v>16657</v>
      </c>
      <c r="E55" s="1">
        <v>181597</v>
      </c>
      <c r="F55" s="1">
        <v>185560</v>
      </c>
      <c r="G55" s="1">
        <v>717419</v>
      </c>
      <c r="H55" s="1">
        <v>48706</v>
      </c>
      <c r="I55" s="1">
        <v>2369</v>
      </c>
      <c r="J55" s="1">
        <v>1731</v>
      </c>
      <c r="K55" s="1">
        <v>11025</v>
      </c>
      <c r="L55" s="1">
        <v>1532</v>
      </c>
      <c r="N55" s="1">
        <v>6</v>
      </c>
      <c r="O55" s="2">
        <f t="shared" si="3"/>
        <v>1.1872180894976358E-2</v>
      </c>
      <c r="P55" s="2">
        <f t="shared" si="2"/>
        <v>1.6456222565346971E-3</v>
      </c>
      <c r="Q55" s="2">
        <f t="shared" si="2"/>
        <v>9.4732914237595847E-3</v>
      </c>
      <c r="R55" s="2">
        <f t="shared" si="2"/>
        <v>1.0100127666789407E-2</v>
      </c>
      <c r="S55" s="2">
        <f t="shared" si="2"/>
        <v>1.3795768422603154E-2</v>
      </c>
      <c r="T55" s="2">
        <f t="shared" si="2"/>
        <v>8.2375323731504416E-3</v>
      </c>
      <c r="U55" s="2">
        <f t="shared" si="2"/>
        <v>7.2546139834904705E-4</v>
      </c>
      <c r="V55" s="2">
        <f t="shared" si="2"/>
        <v>7.0589645791678578E-4</v>
      </c>
      <c r="W55" s="2">
        <f t="shared" si="2"/>
        <v>2.7458836029280458E-3</v>
      </c>
      <c r="X55" s="2">
        <f t="shared" si="2"/>
        <v>3.9363098893362486E-3</v>
      </c>
    </row>
    <row r="56" spans="2:24" x14ac:dyDescent="0.2">
      <c r="B56" s="1">
        <v>2007</v>
      </c>
      <c r="C56" s="1">
        <v>1209217</v>
      </c>
      <c r="D56" s="1">
        <v>28307</v>
      </c>
      <c r="E56" s="1">
        <v>203583</v>
      </c>
      <c r="F56" s="1">
        <v>178260</v>
      </c>
      <c r="G56" s="1">
        <v>763805</v>
      </c>
      <c r="H56" s="1">
        <v>63569</v>
      </c>
      <c r="I56" s="1">
        <v>10929</v>
      </c>
      <c r="J56" s="1">
        <v>6618</v>
      </c>
      <c r="K56" s="1">
        <v>9011</v>
      </c>
      <c r="L56" s="1">
        <v>1749</v>
      </c>
      <c r="N56" s="1">
        <v>7</v>
      </c>
      <c r="O56" s="2">
        <f t="shared" si="3"/>
        <v>1.2100614171587358E-2</v>
      </c>
      <c r="P56" s="2">
        <f t="shared" si="2"/>
        <v>2.2885940827064768E-3</v>
      </c>
      <c r="Q56" s="2">
        <f t="shared" si="2"/>
        <v>1.0983300590185903E-2</v>
      </c>
      <c r="R56" s="2">
        <f t="shared" si="2"/>
        <v>9.4667057244839196E-3</v>
      </c>
      <c r="S56" s="2">
        <f t="shared" si="2"/>
        <v>1.3550106415005571E-2</v>
      </c>
      <c r="T56" s="2">
        <f t="shared" si="2"/>
        <v>1.0260680589043674E-2</v>
      </c>
      <c r="U56" s="2">
        <f t="shared" si="2"/>
        <v>3.4189322945668726E-3</v>
      </c>
      <c r="V56" s="2">
        <f t="shared" si="2"/>
        <v>2.2703983351784465E-3</v>
      </c>
      <c r="W56" s="2">
        <f t="shared" si="2"/>
        <v>1.5520007220049968E-3</v>
      </c>
      <c r="X56" s="2">
        <f t="shared" si="2"/>
        <v>3.876707834983908E-3</v>
      </c>
    </row>
    <row r="57" spans="2:24" x14ac:dyDescent="0.2">
      <c r="B57" s="1">
        <v>2008</v>
      </c>
      <c r="C57" s="1">
        <v>1344216</v>
      </c>
      <c r="D57" s="1">
        <v>28271</v>
      </c>
      <c r="E57" s="1">
        <v>218031</v>
      </c>
      <c r="F57" s="1">
        <v>188351</v>
      </c>
      <c r="G57" s="1">
        <v>863676</v>
      </c>
      <c r="H57" s="1">
        <v>74158</v>
      </c>
      <c r="I57" s="1">
        <v>8119</v>
      </c>
      <c r="J57" s="1">
        <v>6927</v>
      </c>
      <c r="K57" s="1">
        <v>11862</v>
      </c>
      <c r="L57" s="1">
        <v>1363</v>
      </c>
      <c r="N57" s="1">
        <v>8</v>
      </c>
      <c r="O57" s="2">
        <f t="shared" si="3"/>
        <v>1.3107556842698025E-2</v>
      </c>
      <c r="P57" s="2">
        <f t="shared" si="2"/>
        <v>2.2527813335101285E-3</v>
      </c>
      <c r="Q57" s="2">
        <f t="shared" si="2"/>
        <v>1.0307236788237579E-2</v>
      </c>
      <c r="R57" s="2">
        <f t="shared" si="2"/>
        <v>9.8928037548650302E-3</v>
      </c>
      <c r="S57" s="2">
        <f t="shared" si="2"/>
        <v>1.5608438615059835E-2</v>
      </c>
      <c r="T57" s="2">
        <f t="shared" si="2"/>
        <v>1.0554125007987679E-2</v>
      </c>
      <c r="U57" s="2">
        <f t="shared" si="2"/>
        <v>2.3296479043785558E-3</v>
      </c>
      <c r="V57" s="2">
        <f t="shared" si="2"/>
        <v>2.334867215592477E-3</v>
      </c>
      <c r="W57" s="2">
        <f t="shared" si="2"/>
        <v>2.1149169036632351E-3</v>
      </c>
      <c r="X57" s="2">
        <f t="shared" si="2"/>
        <v>2.7884330152105645E-3</v>
      </c>
    </row>
    <row r="58" spans="2:24" x14ac:dyDescent="0.2">
      <c r="B58" s="1">
        <v>2009</v>
      </c>
      <c r="C58" s="1">
        <v>1407787</v>
      </c>
      <c r="D58" s="1">
        <v>31243</v>
      </c>
      <c r="E58" s="1">
        <v>243888</v>
      </c>
      <c r="F58" s="1">
        <v>190496</v>
      </c>
      <c r="G58" s="1">
        <v>895650</v>
      </c>
      <c r="H58" s="1">
        <v>77753</v>
      </c>
      <c r="I58" s="1">
        <v>9903</v>
      </c>
      <c r="J58" s="1">
        <v>8009</v>
      </c>
      <c r="K58" s="1">
        <v>11622</v>
      </c>
      <c r="L58" s="1">
        <v>1709</v>
      </c>
      <c r="N58" s="1">
        <v>9</v>
      </c>
      <c r="O58" s="2">
        <f t="shared" si="3"/>
        <v>1.3424030703419888E-2</v>
      </c>
      <c r="P58" s="2">
        <f t="shared" si="2"/>
        <v>2.433293353479026E-3</v>
      </c>
      <c r="Q58" s="2">
        <f t="shared" si="2"/>
        <v>1.0686142839090756E-2</v>
      </c>
      <c r="R58" s="2">
        <f t="shared" si="2"/>
        <v>9.8240265874168231E-3</v>
      </c>
      <c r="S58" s="2">
        <f t="shared" si="2"/>
        <v>1.6223538754386889E-2</v>
      </c>
      <c r="T58" s="2">
        <f t="shared" si="2"/>
        <v>1.043638233510112E-2</v>
      </c>
      <c r="U58" s="2">
        <f t="shared" si="2"/>
        <v>2.6048084927856826E-3</v>
      </c>
      <c r="V58" s="2">
        <f t="shared" si="2"/>
        <v>2.6951066769593784E-3</v>
      </c>
      <c r="W58" s="2">
        <f t="shared" si="2"/>
        <v>2.1177167726010963E-3</v>
      </c>
      <c r="X58" s="2">
        <f t="shared" si="2"/>
        <v>2.9551266865750097E-3</v>
      </c>
    </row>
    <row r="59" spans="2:24" x14ac:dyDescent="0.2">
      <c r="B59" s="1">
        <v>2010</v>
      </c>
      <c r="C59" s="1">
        <v>1773092</v>
      </c>
      <c r="D59" s="1">
        <v>30518</v>
      </c>
      <c r="E59" s="1">
        <v>266498</v>
      </c>
      <c r="F59" s="1">
        <v>216336</v>
      </c>
      <c r="G59" s="1">
        <v>1200864</v>
      </c>
      <c r="H59" s="1">
        <v>89394</v>
      </c>
      <c r="I59" s="1">
        <v>13369</v>
      </c>
      <c r="J59" s="1">
        <v>7333</v>
      </c>
      <c r="K59" s="1">
        <v>8296</v>
      </c>
      <c r="L59" s="1">
        <v>1520</v>
      </c>
      <c r="N59" s="1">
        <v>10</v>
      </c>
      <c r="O59" s="2">
        <f t="shared" si="3"/>
        <v>1.6385995655931056E-2</v>
      </c>
      <c r="P59" s="2">
        <f t="shared" si="2"/>
        <v>2.2075698712357003E-3</v>
      </c>
      <c r="Q59" s="2">
        <f t="shared" si="2"/>
        <v>1.0750049273109694E-2</v>
      </c>
      <c r="R59" s="2">
        <f t="shared" si="2"/>
        <v>1.0484142864765287E-2</v>
      </c>
      <c r="S59" s="2">
        <f t="shared" si="2"/>
        <v>2.2029000161411426E-2</v>
      </c>
      <c r="T59" s="2">
        <f t="shared" si="2"/>
        <v>1.0809550625043154E-2</v>
      </c>
      <c r="U59" s="2">
        <f t="shared" si="2"/>
        <v>2.9982495820190247E-3</v>
      </c>
      <c r="V59" s="2">
        <f t="shared" si="2"/>
        <v>2.2282651468397258E-3</v>
      </c>
      <c r="W59" s="2">
        <f t="shared" si="2"/>
        <v>1.5030771772877357E-3</v>
      </c>
      <c r="X59" s="2">
        <f t="shared" si="2"/>
        <v>2.7383884223820018E-3</v>
      </c>
    </row>
    <row r="60" spans="2:24" x14ac:dyDescent="0.2">
      <c r="B60" s="1">
        <v>2011</v>
      </c>
      <c r="C60" s="1">
        <v>1812815</v>
      </c>
      <c r="D60" s="1">
        <v>31465</v>
      </c>
      <c r="E60" s="1">
        <v>351384</v>
      </c>
      <c r="F60" s="1">
        <v>243775</v>
      </c>
      <c r="G60" s="1">
        <v>1083131</v>
      </c>
      <c r="H60" s="1">
        <v>134525</v>
      </c>
      <c r="I60" s="1">
        <v>12305</v>
      </c>
      <c r="J60" s="1">
        <v>7341</v>
      </c>
      <c r="K60" s="1">
        <v>9331</v>
      </c>
      <c r="L60" s="1">
        <v>2488</v>
      </c>
      <c r="N60" s="1">
        <v>11</v>
      </c>
      <c r="O60" s="2">
        <f t="shared" si="3"/>
        <v>1.6529665402238575E-2</v>
      </c>
      <c r="P60" s="2">
        <f t="shared" si="2"/>
        <v>2.1637205844197952E-3</v>
      </c>
      <c r="Q60" s="2">
        <f t="shared" si="2"/>
        <v>1.3528544931810372E-2</v>
      </c>
      <c r="R60" s="2">
        <f t="shared" si="2"/>
        <v>1.1778501836412301E-2</v>
      </c>
      <c r="S60" s="2">
        <f t="shared" si="2"/>
        <v>1.9992574293748056E-2</v>
      </c>
      <c r="T60" s="2">
        <f t="shared" si="2"/>
        <v>1.5246037786827243E-2</v>
      </c>
      <c r="U60" s="2">
        <f t="shared" si="2"/>
        <v>2.5947341551994739E-3</v>
      </c>
      <c r="V60" s="2">
        <f t="shared" si="2"/>
        <v>2.1042795042717647E-3</v>
      </c>
      <c r="W60" s="2">
        <f t="shared" si="2"/>
        <v>1.5937440379779418E-3</v>
      </c>
      <c r="X60" s="2">
        <f t="shared" si="2"/>
        <v>5.4512151301893902E-3</v>
      </c>
    </row>
    <row r="61" spans="2:24" x14ac:dyDescent="0.2">
      <c r="B61" s="1">
        <v>2012</v>
      </c>
      <c r="C61" s="1">
        <v>1869674</v>
      </c>
      <c r="D61" s="1">
        <v>34650</v>
      </c>
      <c r="E61" s="1">
        <v>365415</v>
      </c>
      <c r="F61" s="1">
        <v>16500</v>
      </c>
      <c r="G61" s="1">
        <v>1356683</v>
      </c>
      <c r="H61" s="1">
        <v>131076</v>
      </c>
      <c r="I61" s="1">
        <v>15797</v>
      </c>
      <c r="J61" s="1">
        <v>208</v>
      </c>
      <c r="K61" s="1">
        <v>17431</v>
      </c>
      <c r="L61" s="1">
        <v>1214</v>
      </c>
      <c r="N61" s="1">
        <v>12</v>
      </c>
      <c r="O61" s="2">
        <f t="shared" si="3"/>
        <v>1.6873072355306992E-2</v>
      </c>
      <c r="P61" s="2">
        <f t="shared" si="2"/>
        <v>2.2547962737881006E-3</v>
      </c>
      <c r="Q61" s="2">
        <f t="shared" si="2"/>
        <v>1.3659298959838861E-2</v>
      </c>
      <c r="R61" s="2">
        <f t="shared" si="2"/>
        <v>1.4903533492304357E-2</v>
      </c>
      <c r="S61" s="2">
        <f t="shared" si="2"/>
        <v>1.8586227538306403E-2</v>
      </c>
      <c r="T61" s="2">
        <f t="shared" si="2"/>
        <v>1.3166938123346674E-2</v>
      </c>
      <c r="U61" s="2">
        <f t="shared" si="2"/>
        <v>3.0736387177690639E-3</v>
      </c>
      <c r="V61" s="2">
        <f t="shared" si="2"/>
        <v>1.2910353731278436E-3</v>
      </c>
      <c r="W61" s="2">
        <f t="shared" si="2"/>
        <v>1.8572918764391056E-3</v>
      </c>
      <c r="X61" s="2">
        <f t="shared" si="2"/>
        <v>1.7814953408173747E-3</v>
      </c>
    </row>
    <row r="62" spans="2:24" x14ac:dyDescent="0.2">
      <c r="B62" s="1">
        <v>2013</v>
      </c>
      <c r="C62" s="1">
        <v>1919202</v>
      </c>
      <c r="D62" s="1">
        <v>34467</v>
      </c>
      <c r="E62" s="1">
        <v>371872</v>
      </c>
      <c r="F62" s="1">
        <v>238621</v>
      </c>
      <c r="G62" s="1">
        <v>1164145</v>
      </c>
      <c r="H62" s="1">
        <v>144564</v>
      </c>
      <c r="I62" s="1">
        <v>14583</v>
      </c>
      <c r="J62" s="1">
        <v>7971</v>
      </c>
      <c r="K62" s="1">
        <v>10064</v>
      </c>
      <c r="L62" s="1">
        <v>1849</v>
      </c>
      <c r="N62" s="1">
        <v>13</v>
      </c>
      <c r="O62" s="2">
        <f t="shared" si="3"/>
        <v>1.7020075864479189E-2</v>
      </c>
      <c r="P62" s="2">
        <f t="shared" si="2"/>
        <v>2.3039740360234666E-3</v>
      </c>
      <c r="Q62" s="2">
        <f t="shared" si="2"/>
        <v>1.3355286159179056E-2</v>
      </c>
      <c r="R62" s="2">
        <f t="shared" si="2"/>
        <v>1.1604846469380564E-2</v>
      </c>
      <c r="S62" s="2">
        <f t="shared" si="2"/>
        <v>2.1633605813437477E-2</v>
      </c>
      <c r="T62" s="2">
        <f t="shared" si="2"/>
        <v>1.3712559469087457E-2</v>
      </c>
      <c r="U62" s="2">
        <f t="shared" si="2"/>
        <v>2.7782567072618938E-3</v>
      </c>
      <c r="V62" s="2">
        <f t="shared" si="2"/>
        <v>2.2657779412546403E-3</v>
      </c>
      <c r="W62" s="2">
        <f t="shared" si="2"/>
        <v>1.8434388487152894E-3</v>
      </c>
      <c r="X62" s="2">
        <f t="shared" si="2"/>
        <v>2.5208938334219532E-3</v>
      </c>
    </row>
    <row r="63" spans="2:24" x14ac:dyDescent="0.2">
      <c r="B63" s="1">
        <v>2014</v>
      </c>
      <c r="C63" s="1">
        <v>1995873</v>
      </c>
      <c r="D63" s="1">
        <v>32730</v>
      </c>
      <c r="E63" s="1">
        <v>380848</v>
      </c>
      <c r="F63" s="1">
        <v>278871</v>
      </c>
      <c r="G63" s="1">
        <v>1193665</v>
      </c>
      <c r="H63" s="1">
        <v>142489</v>
      </c>
      <c r="I63" s="1">
        <v>12206</v>
      </c>
      <c r="J63" s="1">
        <v>6083</v>
      </c>
      <c r="K63" s="1">
        <v>11488</v>
      </c>
      <c r="L63" s="1">
        <v>2953</v>
      </c>
      <c r="N63" s="1">
        <v>14</v>
      </c>
      <c r="O63" s="2">
        <f t="shared" si="3"/>
        <v>1.7411736637600303E-2</v>
      </c>
      <c r="P63" s="2">
        <f t="shared" si="2"/>
        <v>2.1455719079935764E-3</v>
      </c>
      <c r="Q63" s="2">
        <f t="shared" si="2"/>
        <v>1.3087337967527287E-2</v>
      </c>
      <c r="R63" s="2">
        <f t="shared" si="2"/>
        <v>1.3703170355933254E-2</v>
      </c>
      <c r="S63" s="2">
        <f t="shared" si="2"/>
        <v>2.2123123341354196E-2</v>
      </c>
      <c r="T63" s="2">
        <f t="shared" si="2"/>
        <v>1.2698244931427302E-2</v>
      </c>
      <c r="U63" s="2">
        <f t="shared" si="2"/>
        <v>2.1854628226919293E-3</v>
      </c>
      <c r="V63" s="2">
        <f t="shared" si="2"/>
        <v>1.7549553760113786E-3</v>
      </c>
      <c r="W63" s="2">
        <f t="shared" si="2"/>
        <v>2.1077336652475668E-3</v>
      </c>
      <c r="X63" s="2">
        <f t="shared" si="2"/>
        <v>3.9216571624360224E-3</v>
      </c>
    </row>
    <row r="64" spans="2:24" x14ac:dyDescent="0.2">
      <c r="B64" s="1">
        <v>2015</v>
      </c>
      <c r="C64" s="1">
        <v>2052706</v>
      </c>
      <c r="D64" s="1">
        <v>26539</v>
      </c>
      <c r="E64" s="1">
        <v>398112</v>
      </c>
      <c r="F64" s="1">
        <v>282068</v>
      </c>
      <c r="G64" s="1">
        <v>1209283</v>
      </c>
      <c r="H64" s="1">
        <v>163243</v>
      </c>
      <c r="I64" s="1">
        <v>8479</v>
      </c>
      <c r="J64" s="1">
        <v>6448</v>
      </c>
      <c r="K64" s="1">
        <v>9859</v>
      </c>
      <c r="L64" s="1">
        <v>1753</v>
      </c>
      <c r="N64" s="1">
        <v>15</v>
      </c>
      <c r="O64" s="2">
        <f t="shared" si="3"/>
        <v>1.7877724438750003E-2</v>
      </c>
      <c r="P64" s="2">
        <f t="shared" si="2"/>
        <v>1.7396806143309853E-3</v>
      </c>
      <c r="Q64" s="2">
        <f t="shared" si="2"/>
        <v>1.298870867938667E-2</v>
      </c>
      <c r="R64" s="2">
        <f t="shared" si="2"/>
        <v>1.3627366121181659E-2</v>
      </c>
      <c r="S64" s="2">
        <f t="shared" si="2"/>
        <v>2.3792328087142729E-2</v>
      </c>
      <c r="T64" s="2">
        <f t="shared" si="2"/>
        <v>1.2911383614723927E-2</v>
      </c>
      <c r="U64" s="2">
        <f t="shared" si="2"/>
        <v>1.459450964840124E-3</v>
      </c>
      <c r="V64" s="2">
        <f t="shared" si="2"/>
        <v>1.9054345368875046E-3</v>
      </c>
      <c r="W64" s="2">
        <f t="shared" si="2"/>
        <v>1.9161764631568964E-3</v>
      </c>
      <c r="X64" s="2">
        <f t="shared" si="2"/>
        <v>1.9132687864331453E-3</v>
      </c>
    </row>
    <row r="65" spans="2:24" x14ac:dyDescent="0.2">
      <c r="B65" s="1">
        <v>2017</v>
      </c>
      <c r="C65" s="1">
        <v>2101597</v>
      </c>
      <c r="D65" s="1">
        <v>59688</v>
      </c>
      <c r="E65" s="1">
        <v>454818</v>
      </c>
      <c r="F65" s="1">
        <v>283777</v>
      </c>
      <c r="G65" s="1">
        <v>1138778</v>
      </c>
      <c r="H65" s="1">
        <v>224224</v>
      </c>
      <c r="I65" s="1">
        <v>23257</v>
      </c>
      <c r="J65" s="1">
        <v>10586</v>
      </c>
      <c r="K65" s="1">
        <v>22076</v>
      </c>
      <c r="L65" s="1">
        <v>3769</v>
      </c>
      <c r="N65" s="1">
        <v>16</v>
      </c>
      <c r="O65" s="2">
        <f t="shared" si="3"/>
        <v>1.7365352204194426E-2</v>
      </c>
      <c r="P65" s="2">
        <f t="shared" si="2"/>
        <v>3.5092288638895069E-3</v>
      </c>
      <c r="Q65" s="2">
        <f t="shared" si="2"/>
        <v>1.3711543927479536E-2</v>
      </c>
      <c r="R65" s="2">
        <f t="shared" si="2"/>
        <v>1.2925395792620312E-2</v>
      </c>
      <c r="S65" s="2">
        <f t="shared" si="2"/>
        <v>2.220354646309565E-2</v>
      </c>
      <c r="T65" s="2">
        <f t="shared" si="2"/>
        <v>1.5348482439197389E-2</v>
      </c>
      <c r="U65" s="2">
        <f t="shared" si="2"/>
        <v>3.7252159494407292E-3</v>
      </c>
      <c r="V65" s="2">
        <f t="shared" si="2"/>
        <v>2.7754654725121162E-3</v>
      </c>
      <c r="W65" s="2">
        <f t="shared" si="2"/>
        <v>3.7443749992579433E-3</v>
      </c>
      <c r="X65" s="2">
        <f t="shared" si="2"/>
        <v>3.5697203608552556E-3</v>
      </c>
    </row>
    <row r="66" spans="2:24" x14ac:dyDescent="0.2">
      <c r="B66" s="1">
        <v>2018</v>
      </c>
      <c r="C66" s="1">
        <v>2194751</v>
      </c>
      <c r="D66" s="1">
        <v>60447</v>
      </c>
      <c r="E66" s="1">
        <v>497939</v>
      </c>
      <c r="F66" s="1">
        <v>294510</v>
      </c>
      <c r="G66" s="1">
        <v>1163706</v>
      </c>
      <c r="H66" s="1">
        <v>238596</v>
      </c>
      <c r="I66" s="1">
        <v>24201</v>
      </c>
      <c r="J66" s="1">
        <v>15301</v>
      </c>
      <c r="K66" s="1">
        <v>18071</v>
      </c>
      <c r="L66" s="1">
        <v>2874</v>
      </c>
      <c r="N66" s="1">
        <v>17</v>
      </c>
      <c r="O66" s="2">
        <f t="shared" si="3"/>
        <v>1.7698898310107781E-2</v>
      </c>
      <c r="P66" s="2">
        <f t="shared" ref="P66:P71" si="4">D66/D91</f>
        <v>3.3119001574449733E-3</v>
      </c>
      <c r="Q66" s="2">
        <f t="shared" ref="Q66:Q71" si="5">E66/E91</f>
        <v>1.4087140087827953E-2</v>
      </c>
      <c r="R66" s="2">
        <f t="shared" ref="R66:R71" si="6">F66/F91</f>
        <v>1.2934465244339563E-2</v>
      </c>
      <c r="S66" s="2">
        <f t="shared" ref="S66:S71" si="7">G66/G91</f>
        <v>2.2914433512027713E-2</v>
      </c>
      <c r="T66" s="2">
        <f t="shared" ref="T66:T71" si="8">H66/H91</f>
        <v>1.5797248385704031E-2</v>
      </c>
      <c r="U66" s="2">
        <f t="shared" ref="U66:U71" si="9">I66/I91</f>
        <v>3.5840436086036595E-3</v>
      </c>
      <c r="V66" s="2">
        <f t="shared" ref="V66:V71" si="10">J66/J91</f>
        <v>3.6534763301246925E-3</v>
      </c>
      <c r="W66" s="2">
        <f t="shared" ref="W66:W71" si="11">K66/K91</f>
        <v>2.906045059377652E-3</v>
      </c>
      <c r="X66" s="2">
        <f t="shared" ref="X66:X71" si="12">L66/L91</f>
        <v>2.6305576709038719E-3</v>
      </c>
    </row>
    <row r="67" spans="2:24" x14ac:dyDescent="0.2">
      <c r="B67" s="1">
        <v>2019</v>
      </c>
      <c r="C67" s="1">
        <v>2208431</v>
      </c>
      <c r="D67" s="1">
        <v>52826</v>
      </c>
      <c r="E67" s="1">
        <v>515956</v>
      </c>
      <c r="F67" s="1">
        <v>273919</v>
      </c>
      <c r="G67" s="1">
        <v>1168003</v>
      </c>
      <c r="H67" s="1">
        <v>250553</v>
      </c>
      <c r="I67" s="1">
        <v>23015</v>
      </c>
      <c r="J67" s="1">
        <v>8469</v>
      </c>
      <c r="K67" s="1">
        <v>17553</v>
      </c>
      <c r="L67" s="1">
        <v>3789</v>
      </c>
      <c r="N67" s="1">
        <v>18</v>
      </c>
      <c r="O67" s="2">
        <f t="shared" si="3"/>
        <v>1.7455866282669347E-2</v>
      </c>
      <c r="P67" s="2">
        <f t="shared" si="4"/>
        <v>2.7908866398440196E-3</v>
      </c>
      <c r="Q67" s="2">
        <f t="shared" si="5"/>
        <v>1.38167553478081E-2</v>
      </c>
      <c r="R67" s="2">
        <f t="shared" si="6"/>
        <v>1.1923141076624569E-2</v>
      </c>
      <c r="S67" s="2">
        <f t="shared" si="7"/>
        <v>2.3122930188786559E-2</v>
      </c>
      <c r="T67" s="2">
        <f t="shared" si="8"/>
        <v>1.5973179914440118E-2</v>
      </c>
      <c r="U67" s="2">
        <f t="shared" si="9"/>
        <v>3.1796390367109808E-3</v>
      </c>
      <c r="V67" s="2">
        <f t="shared" si="10"/>
        <v>1.9953641769340706E-3</v>
      </c>
      <c r="W67" s="2">
        <f t="shared" si="11"/>
        <v>2.759345114168631E-3</v>
      </c>
      <c r="X67" s="2">
        <f t="shared" si="12"/>
        <v>3.4948651585279692E-3</v>
      </c>
    </row>
    <row r="68" spans="2:24" x14ac:dyDescent="0.2">
      <c r="B68" s="1">
        <v>2020</v>
      </c>
      <c r="C68" s="1">
        <v>2037994</v>
      </c>
      <c r="D68" s="1">
        <v>55930</v>
      </c>
      <c r="E68" s="1">
        <v>487673</v>
      </c>
      <c r="F68" s="1">
        <v>264340</v>
      </c>
      <c r="G68" s="1">
        <v>1040857</v>
      </c>
      <c r="H68" s="1">
        <v>245124</v>
      </c>
      <c r="I68" s="1">
        <v>21871</v>
      </c>
      <c r="J68" s="1">
        <v>10385</v>
      </c>
      <c r="K68" s="1">
        <v>20738</v>
      </c>
      <c r="L68" s="1">
        <v>2936</v>
      </c>
      <c r="N68" s="1">
        <v>19</v>
      </c>
      <c r="O68" s="2">
        <f t="shared" si="3"/>
        <v>1.6829305287535557E-2</v>
      </c>
      <c r="P68" s="2">
        <f t="shared" si="4"/>
        <v>3.342375615729472E-3</v>
      </c>
      <c r="Q68" s="2">
        <f t="shared" si="5"/>
        <v>1.325078500371529E-2</v>
      </c>
      <c r="R68" s="2">
        <f t="shared" si="6"/>
        <v>1.2191387910233123E-2</v>
      </c>
      <c r="S68" s="2">
        <f t="shared" si="7"/>
        <v>2.2048421766430099E-2</v>
      </c>
      <c r="T68" s="2">
        <f t="shared" si="8"/>
        <v>1.5912697634725675E-2</v>
      </c>
      <c r="U68" s="2">
        <f t="shared" si="9"/>
        <v>3.2623013491766234E-3</v>
      </c>
      <c r="V68" s="2">
        <f t="shared" si="10"/>
        <v>2.7862424817063124E-3</v>
      </c>
      <c r="W68" s="2">
        <f t="shared" si="11"/>
        <v>3.8900148843997047E-3</v>
      </c>
      <c r="X68" s="2">
        <f t="shared" si="12"/>
        <v>3.023322627448598E-3</v>
      </c>
    </row>
    <row r="69" spans="2:24" x14ac:dyDescent="0.2">
      <c r="B69" s="1">
        <v>2021</v>
      </c>
      <c r="C69" s="1">
        <v>2260480</v>
      </c>
      <c r="D69" s="1">
        <v>53078</v>
      </c>
      <c r="E69" s="1">
        <v>544207</v>
      </c>
      <c r="F69" s="1">
        <v>292557</v>
      </c>
      <c r="G69" s="1">
        <v>1156186</v>
      </c>
      <c r="H69" s="1">
        <v>267530</v>
      </c>
      <c r="I69" s="1">
        <v>22623</v>
      </c>
      <c r="J69" s="1">
        <v>10074</v>
      </c>
      <c r="K69" s="1">
        <v>17933</v>
      </c>
      <c r="L69" s="1">
        <v>2448</v>
      </c>
      <c r="N69" s="1">
        <v>20</v>
      </c>
      <c r="O69" s="2">
        <f t="shared" si="3"/>
        <v>1.8145513115139841E-2</v>
      </c>
      <c r="P69" s="2">
        <f t="shared" si="4"/>
        <v>2.9541569693793544E-3</v>
      </c>
      <c r="Q69" s="2">
        <f t="shared" si="5"/>
        <v>1.3795397669150262E-2</v>
      </c>
      <c r="R69" s="2">
        <f t="shared" si="6"/>
        <v>1.3459641296145096E-2</v>
      </c>
      <c r="S69" s="2">
        <f t="shared" si="7"/>
        <v>2.4605693875881053E-2</v>
      </c>
      <c r="T69" s="2">
        <f t="shared" si="8"/>
        <v>1.631053830995071E-2</v>
      </c>
      <c r="U69" s="2">
        <f t="shared" si="9"/>
        <v>3.0616321450939992E-3</v>
      </c>
      <c r="V69" s="2">
        <f t="shared" si="10"/>
        <v>2.5998211042297546E-3</v>
      </c>
      <c r="W69" s="2">
        <f t="shared" si="11"/>
        <v>3.1651076750816558E-3</v>
      </c>
      <c r="X69" s="2">
        <f t="shared" si="12"/>
        <v>2.3599639064343721E-3</v>
      </c>
    </row>
    <row r="70" spans="2:24" x14ac:dyDescent="0.2">
      <c r="B70" s="1">
        <v>2022</v>
      </c>
      <c r="C70" s="1">
        <v>2296643</v>
      </c>
      <c r="D70" s="1">
        <v>48156</v>
      </c>
      <c r="E70" s="1">
        <v>521980</v>
      </c>
      <c r="F70" s="1">
        <v>312375</v>
      </c>
      <c r="G70" s="1">
        <v>1251879</v>
      </c>
      <c r="H70" s="1">
        <v>210409</v>
      </c>
      <c r="I70" s="1">
        <v>21776</v>
      </c>
      <c r="J70" s="1">
        <v>7391</v>
      </c>
      <c r="K70" s="1">
        <v>17076</v>
      </c>
      <c r="L70" s="1">
        <v>1913</v>
      </c>
      <c r="N70" s="1">
        <v>21</v>
      </c>
      <c r="O70" s="2">
        <f t="shared" si="3"/>
        <v>1.7875160893672196E-2</v>
      </c>
      <c r="P70" s="2">
        <f t="shared" si="4"/>
        <v>2.6203972865317042E-3</v>
      </c>
      <c r="Q70" s="2">
        <f t="shared" si="5"/>
        <v>1.2870705627473037E-2</v>
      </c>
      <c r="R70" s="2">
        <f t="shared" si="6"/>
        <v>1.419789430739774E-2</v>
      </c>
      <c r="S70" s="2">
        <f t="shared" si="7"/>
        <v>2.5240860806223432E-2</v>
      </c>
      <c r="T70" s="2">
        <f t="shared" si="8"/>
        <v>1.2886482235758031E-2</v>
      </c>
      <c r="U70" s="2">
        <f t="shared" si="9"/>
        <v>2.8638918812426526E-3</v>
      </c>
      <c r="V70" s="2">
        <f t="shared" si="10"/>
        <v>1.9540384563016882E-3</v>
      </c>
      <c r="W70" s="2">
        <f t="shared" si="11"/>
        <v>2.9214108655748958E-3</v>
      </c>
      <c r="X70" s="2">
        <f t="shared" si="12"/>
        <v>1.6690179491407567E-3</v>
      </c>
    </row>
    <row r="71" spans="2:24" x14ac:dyDescent="0.2">
      <c r="B71" s="1">
        <v>2023</v>
      </c>
      <c r="C71" s="1">
        <v>2735976</v>
      </c>
      <c r="D71" s="1">
        <v>57412</v>
      </c>
      <c r="E71" s="1">
        <v>603740</v>
      </c>
      <c r="F71" s="1">
        <v>329372</v>
      </c>
      <c r="G71" s="1">
        <v>1532642</v>
      </c>
      <c r="H71" s="1">
        <v>270222</v>
      </c>
      <c r="I71" s="1">
        <v>27029</v>
      </c>
      <c r="J71" s="1">
        <v>10269</v>
      </c>
      <c r="K71" s="1">
        <v>15951</v>
      </c>
      <c r="L71" s="1">
        <v>4163</v>
      </c>
      <c r="N71" s="1">
        <v>22</v>
      </c>
      <c r="O71" s="2">
        <f t="shared" si="3"/>
        <v>2.0791092981159526E-2</v>
      </c>
      <c r="P71" s="2">
        <f t="shared" si="4"/>
        <v>3.1217845610864541E-3</v>
      </c>
      <c r="Q71" s="2">
        <f t="shared" si="5"/>
        <v>1.4001564861679873E-2</v>
      </c>
      <c r="R71" s="2">
        <f t="shared" si="6"/>
        <v>1.4319323274030326E-2</v>
      </c>
      <c r="S71" s="2">
        <f t="shared" si="7"/>
        <v>3.1804246595144282E-2</v>
      </c>
      <c r="T71" s="2">
        <f t="shared" si="8"/>
        <v>1.5635662934587725E-2</v>
      </c>
      <c r="U71" s="2">
        <f t="shared" si="9"/>
        <v>3.4358067014565027E-3</v>
      </c>
      <c r="V71" s="2">
        <f t="shared" si="10"/>
        <v>2.7165617412660782E-3</v>
      </c>
      <c r="W71" s="2">
        <f t="shared" si="11"/>
        <v>2.8797481723321031E-3</v>
      </c>
      <c r="X71" s="2">
        <f t="shared" si="12"/>
        <v>3.4555345827377662E-3</v>
      </c>
    </row>
    <row r="73" spans="2:24" x14ac:dyDescent="0.2">
      <c r="B73" s="1" t="s">
        <v>12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9</v>
      </c>
      <c r="K73" s="1" t="s">
        <v>10</v>
      </c>
      <c r="L73" s="1" t="s">
        <v>11</v>
      </c>
      <c r="O73" s="2"/>
    </row>
    <row r="74" spans="2:24" x14ac:dyDescent="0.2">
      <c r="B74" s="1">
        <v>2000</v>
      </c>
      <c r="C74" s="1">
        <v>89837730</v>
      </c>
      <c r="D74" s="1">
        <v>9927445</v>
      </c>
      <c r="E74" s="1">
        <v>16044574</v>
      </c>
      <c r="F74" s="1">
        <v>13995118</v>
      </c>
      <c r="G74" s="1">
        <v>57838739</v>
      </c>
      <c r="H74" s="1">
        <v>1959299</v>
      </c>
      <c r="I74" s="1">
        <v>2753774</v>
      </c>
      <c r="J74" s="1">
        <v>2180194</v>
      </c>
      <c r="K74" s="1">
        <v>4791002</v>
      </c>
      <c r="L74" s="1">
        <v>202475</v>
      </c>
    </row>
    <row r="75" spans="2:24" x14ac:dyDescent="0.2">
      <c r="B75" s="1">
        <v>2001</v>
      </c>
      <c r="C75" s="1">
        <v>90807417</v>
      </c>
      <c r="D75" s="1">
        <v>9849368</v>
      </c>
      <c r="E75" s="1">
        <v>15813470</v>
      </c>
      <c r="F75" s="1">
        <v>15063933</v>
      </c>
      <c r="G75" s="1">
        <v>55563604</v>
      </c>
      <c r="H75" s="1">
        <v>4366410</v>
      </c>
      <c r="I75" s="1">
        <v>2713156</v>
      </c>
      <c r="J75" s="1">
        <v>2169049</v>
      </c>
      <c r="K75" s="1">
        <v>4590329</v>
      </c>
      <c r="L75" s="1">
        <v>376834</v>
      </c>
    </row>
    <row r="76" spans="2:24" x14ac:dyDescent="0.2">
      <c r="B76" s="1">
        <v>2002</v>
      </c>
      <c r="C76" s="1">
        <v>91647166</v>
      </c>
      <c r="D76" s="1">
        <v>10119039</v>
      </c>
      <c r="E76" s="1">
        <v>16088362</v>
      </c>
      <c r="F76" s="1">
        <v>15342470</v>
      </c>
      <c r="G76" s="1">
        <v>58251825</v>
      </c>
      <c r="H76" s="1">
        <v>1964509</v>
      </c>
      <c r="I76" s="1">
        <v>2825682</v>
      </c>
      <c r="J76" s="1">
        <v>2239469</v>
      </c>
      <c r="K76" s="1">
        <v>4876973</v>
      </c>
      <c r="L76" s="1">
        <v>176915</v>
      </c>
    </row>
    <row r="77" spans="2:24" x14ac:dyDescent="0.2">
      <c r="B77" s="1">
        <v>2003</v>
      </c>
      <c r="C77" s="1">
        <v>92810791</v>
      </c>
      <c r="D77" s="1">
        <v>9231898</v>
      </c>
      <c r="E77" s="1">
        <v>17029968</v>
      </c>
      <c r="F77" s="1">
        <v>18573005</v>
      </c>
      <c r="G77" s="1">
        <v>53015961</v>
      </c>
      <c r="H77" s="1">
        <v>4191857</v>
      </c>
      <c r="I77" s="1">
        <v>2929689</v>
      </c>
      <c r="J77" s="1">
        <v>2205996</v>
      </c>
      <c r="K77" s="1">
        <v>3717785</v>
      </c>
      <c r="L77" s="1">
        <v>378428</v>
      </c>
    </row>
    <row r="78" spans="2:24" x14ac:dyDescent="0.2">
      <c r="B78" s="1">
        <v>2004</v>
      </c>
      <c r="C78" s="1">
        <v>93722036</v>
      </c>
      <c r="D78" s="1">
        <v>9343467</v>
      </c>
      <c r="E78" s="1">
        <v>17288581</v>
      </c>
      <c r="F78" s="1">
        <v>18572885</v>
      </c>
      <c r="G78" s="1">
        <v>52968157</v>
      </c>
      <c r="H78" s="1">
        <v>4892413</v>
      </c>
      <c r="I78" s="1">
        <v>2809812</v>
      </c>
      <c r="J78" s="1">
        <v>2358667</v>
      </c>
      <c r="K78" s="1">
        <v>3779075</v>
      </c>
      <c r="L78" s="1">
        <v>395913</v>
      </c>
    </row>
    <row r="79" spans="2:24" x14ac:dyDescent="0.2">
      <c r="B79" s="1">
        <v>2005</v>
      </c>
      <c r="C79" s="1">
        <v>93958387</v>
      </c>
      <c r="D79" s="1">
        <v>9972423</v>
      </c>
      <c r="E79" s="1">
        <v>17576837</v>
      </c>
      <c r="F79" s="1">
        <v>19125496</v>
      </c>
      <c r="G79" s="1">
        <v>52061323</v>
      </c>
      <c r="H79" s="1">
        <v>5194731</v>
      </c>
      <c r="I79" s="1">
        <v>3352569</v>
      </c>
      <c r="J79" s="1">
        <v>2384920</v>
      </c>
      <c r="K79" s="1">
        <v>3786260</v>
      </c>
      <c r="L79" s="1">
        <v>448674</v>
      </c>
    </row>
    <row r="80" spans="2:24" x14ac:dyDescent="0.2">
      <c r="B80" s="1">
        <v>2006</v>
      </c>
      <c r="C80" s="1">
        <v>95456935</v>
      </c>
      <c r="D80" s="1">
        <v>10122007</v>
      </c>
      <c r="E80" s="1">
        <v>19169367</v>
      </c>
      <c r="F80" s="1">
        <v>18372045</v>
      </c>
      <c r="G80" s="1">
        <v>52002830</v>
      </c>
      <c r="H80" s="1">
        <v>5912693</v>
      </c>
      <c r="I80" s="1">
        <v>3265508</v>
      </c>
      <c r="J80" s="1">
        <v>2452201</v>
      </c>
      <c r="K80" s="1">
        <v>4015101</v>
      </c>
      <c r="L80" s="1">
        <v>389197</v>
      </c>
    </row>
    <row r="81" spans="2:12" x14ac:dyDescent="0.2">
      <c r="B81" s="1">
        <v>2007</v>
      </c>
      <c r="C81" s="1">
        <v>99930217</v>
      </c>
      <c r="D81" s="1">
        <v>12368729</v>
      </c>
      <c r="E81" s="1">
        <v>18535685</v>
      </c>
      <c r="F81" s="1">
        <v>18830204</v>
      </c>
      <c r="G81" s="1">
        <v>56368930</v>
      </c>
      <c r="H81" s="1">
        <v>6195398</v>
      </c>
      <c r="I81" s="1">
        <v>3196612</v>
      </c>
      <c r="J81" s="1">
        <v>2914907</v>
      </c>
      <c r="K81" s="1">
        <v>5806054</v>
      </c>
      <c r="L81" s="1">
        <v>451156</v>
      </c>
    </row>
    <row r="82" spans="2:12" x14ac:dyDescent="0.2">
      <c r="B82" s="1">
        <v>2008</v>
      </c>
      <c r="C82" s="1">
        <v>102552750</v>
      </c>
      <c r="D82" s="1">
        <v>12549376</v>
      </c>
      <c r="E82" s="1">
        <v>21153196</v>
      </c>
      <c r="F82" s="1">
        <v>19039193</v>
      </c>
      <c r="G82" s="1">
        <v>55333914</v>
      </c>
      <c r="H82" s="1">
        <v>7026447</v>
      </c>
      <c r="I82" s="1">
        <v>3485076</v>
      </c>
      <c r="J82" s="1">
        <v>2966764</v>
      </c>
      <c r="K82" s="1">
        <v>5608731</v>
      </c>
      <c r="L82" s="1">
        <v>488805</v>
      </c>
    </row>
    <row r="83" spans="2:12" x14ac:dyDescent="0.2">
      <c r="B83" s="1">
        <v>2009</v>
      </c>
      <c r="C83" s="1">
        <v>104870663</v>
      </c>
      <c r="D83" s="1">
        <v>12839800</v>
      </c>
      <c r="E83" s="1">
        <v>22822828</v>
      </c>
      <c r="F83" s="1">
        <v>19390827</v>
      </c>
      <c r="G83" s="1">
        <v>55206821</v>
      </c>
      <c r="H83" s="1">
        <v>7450187</v>
      </c>
      <c r="I83" s="1">
        <v>3801815</v>
      </c>
      <c r="J83" s="1">
        <v>2971682</v>
      </c>
      <c r="K83" s="1">
        <v>5487986</v>
      </c>
      <c r="L83" s="1">
        <v>578317</v>
      </c>
    </row>
    <row r="84" spans="2:12" x14ac:dyDescent="0.2">
      <c r="B84" s="1">
        <v>2010</v>
      </c>
      <c r="C84" s="1">
        <v>108207767</v>
      </c>
      <c r="D84" s="1">
        <v>13824251</v>
      </c>
      <c r="E84" s="1">
        <v>24790398</v>
      </c>
      <c r="F84" s="1">
        <v>20634591</v>
      </c>
      <c r="G84" s="1">
        <v>54512869</v>
      </c>
      <c r="H84" s="1">
        <v>8269909</v>
      </c>
      <c r="I84" s="1">
        <v>4458935</v>
      </c>
      <c r="J84" s="1">
        <v>3290901</v>
      </c>
      <c r="K84" s="1">
        <v>5519344</v>
      </c>
      <c r="L84" s="1">
        <v>555071</v>
      </c>
    </row>
    <row r="85" spans="2:12" x14ac:dyDescent="0.2">
      <c r="B85" s="1">
        <v>2011</v>
      </c>
      <c r="C85" s="1">
        <v>109670399</v>
      </c>
      <c r="D85" s="1">
        <v>14542081</v>
      </c>
      <c r="E85" s="1">
        <v>25973525</v>
      </c>
      <c r="F85" s="1">
        <v>20696605</v>
      </c>
      <c r="G85" s="1">
        <v>54176665</v>
      </c>
      <c r="H85" s="1">
        <v>8823604</v>
      </c>
      <c r="I85" s="1">
        <v>4742297</v>
      </c>
      <c r="J85" s="1">
        <v>3488605</v>
      </c>
      <c r="K85" s="1">
        <v>5854767</v>
      </c>
      <c r="L85" s="1">
        <v>456412</v>
      </c>
    </row>
    <row r="86" spans="2:12" x14ac:dyDescent="0.2">
      <c r="B86" s="1">
        <v>2012</v>
      </c>
      <c r="C86" s="1">
        <v>110808154</v>
      </c>
      <c r="D86" s="1">
        <v>15367242</v>
      </c>
      <c r="E86" s="1">
        <v>26752105</v>
      </c>
      <c r="F86" s="1">
        <v>1107120</v>
      </c>
      <c r="G86" s="1">
        <v>72993995</v>
      </c>
      <c r="H86" s="1">
        <v>9954934</v>
      </c>
      <c r="I86" s="1">
        <v>5139511</v>
      </c>
      <c r="J86" s="1">
        <v>161111</v>
      </c>
      <c r="K86" s="1">
        <v>9385170</v>
      </c>
      <c r="L86" s="1">
        <v>681450</v>
      </c>
    </row>
    <row r="87" spans="2:12" x14ac:dyDescent="0.2">
      <c r="B87" s="1">
        <v>2013</v>
      </c>
      <c r="C87" s="1">
        <v>112761072</v>
      </c>
      <c r="D87" s="1">
        <v>14959804</v>
      </c>
      <c r="E87" s="1">
        <v>27844555</v>
      </c>
      <c r="F87" s="1">
        <v>20562185</v>
      </c>
      <c r="G87" s="1">
        <v>53811880</v>
      </c>
      <c r="H87" s="1">
        <v>10542452</v>
      </c>
      <c r="I87" s="1">
        <v>5248975</v>
      </c>
      <c r="J87" s="1">
        <v>3517997</v>
      </c>
      <c r="K87" s="1">
        <v>5459362</v>
      </c>
      <c r="L87" s="1">
        <v>733470</v>
      </c>
    </row>
    <row r="88" spans="2:12" x14ac:dyDescent="0.2">
      <c r="B88" s="1">
        <v>2014</v>
      </c>
      <c r="C88" s="1">
        <v>114628026</v>
      </c>
      <c r="D88" s="1">
        <v>15254674</v>
      </c>
      <c r="E88" s="1">
        <v>29100494</v>
      </c>
      <c r="F88" s="1">
        <v>20350838</v>
      </c>
      <c r="G88" s="1">
        <v>53955537</v>
      </c>
      <c r="H88" s="1">
        <v>11221157</v>
      </c>
      <c r="I88" s="1">
        <v>5585087</v>
      </c>
      <c r="J88" s="1">
        <v>3466185</v>
      </c>
      <c r="K88" s="1">
        <v>5450404</v>
      </c>
      <c r="L88" s="1">
        <v>752998</v>
      </c>
    </row>
    <row r="89" spans="2:12" x14ac:dyDescent="0.2">
      <c r="B89" s="1">
        <v>2015</v>
      </c>
      <c r="C89" s="1">
        <v>114819199</v>
      </c>
      <c r="D89" s="1">
        <v>15255099</v>
      </c>
      <c r="E89" s="1">
        <v>30650622</v>
      </c>
      <c r="F89" s="1">
        <v>20698644</v>
      </c>
      <c r="G89" s="1">
        <v>50826594</v>
      </c>
      <c r="H89" s="1">
        <v>12643339</v>
      </c>
      <c r="I89" s="1">
        <v>5809719</v>
      </c>
      <c r="J89" s="1">
        <v>3384005</v>
      </c>
      <c r="K89" s="1">
        <v>5145142</v>
      </c>
      <c r="L89" s="1">
        <v>916233</v>
      </c>
    </row>
    <row r="90" spans="2:12" x14ac:dyDescent="0.2">
      <c r="B90" s="1">
        <v>2017</v>
      </c>
      <c r="C90" s="1">
        <v>121022423</v>
      </c>
      <c r="D90" s="1">
        <v>17008865</v>
      </c>
      <c r="E90" s="1">
        <v>33170444</v>
      </c>
      <c r="F90" s="1">
        <v>21954995</v>
      </c>
      <c r="G90" s="1">
        <v>51288113</v>
      </c>
      <c r="H90" s="1">
        <v>14608871</v>
      </c>
      <c r="I90" s="1">
        <v>6243128</v>
      </c>
      <c r="J90" s="1">
        <v>3814135</v>
      </c>
      <c r="K90" s="1">
        <v>5895777</v>
      </c>
      <c r="L90" s="1">
        <v>1055825</v>
      </c>
    </row>
    <row r="91" spans="2:12" x14ac:dyDescent="0.2">
      <c r="B91" s="1">
        <v>2018</v>
      </c>
      <c r="C91" s="1">
        <v>124004950</v>
      </c>
      <c r="D91" s="1">
        <v>18251456</v>
      </c>
      <c r="E91" s="1">
        <v>35347061</v>
      </c>
      <c r="F91" s="1">
        <v>22769399</v>
      </c>
      <c r="G91" s="1">
        <v>50784847</v>
      </c>
      <c r="H91" s="1">
        <v>15103643</v>
      </c>
      <c r="I91" s="1">
        <v>6752429</v>
      </c>
      <c r="J91" s="1">
        <v>4188066</v>
      </c>
      <c r="K91" s="1">
        <v>6218417</v>
      </c>
      <c r="L91" s="1">
        <v>1092544</v>
      </c>
    </row>
    <row r="92" spans="2:12" x14ac:dyDescent="0.2">
      <c r="B92" s="1">
        <v>2019</v>
      </c>
      <c r="C92" s="1">
        <v>126515119</v>
      </c>
      <c r="D92" s="1">
        <v>18928035</v>
      </c>
      <c r="E92" s="1">
        <v>37342776</v>
      </c>
      <c r="F92" s="1">
        <v>22973728</v>
      </c>
      <c r="G92" s="1">
        <v>50512759</v>
      </c>
      <c r="H92" s="1">
        <v>15685856</v>
      </c>
      <c r="I92" s="1">
        <v>7238243</v>
      </c>
      <c r="J92" s="1">
        <v>4244338</v>
      </c>
      <c r="K92" s="1">
        <v>6361292</v>
      </c>
      <c r="L92" s="1">
        <v>1084162</v>
      </c>
    </row>
    <row r="93" spans="2:12" x14ac:dyDescent="0.2">
      <c r="B93" s="1">
        <v>2020</v>
      </c>
      <c r="C93" s="1">
        <v>121097928</v>
      </c>
      <c r="D93" s="1">
        <v>16733607</v>
      </c>
      <c r="E93" s="1">
        <v>36803329</v>
      </c>
      <c r="F93" s="1">
        <v>21682519</v>
      </c>
      <c r="G93" s="1">
        <v>47207778</v>
      </c>
      <c r="H93" s="1">
        <v>15404302</v>
      </c>
      <c r="I93" s="1">
        <v>6704163</v>
      </c>
      <c r="J93" s="1">
        <v>3727242</v>
      </c>
      <c r="K93" s="1">
        <v>5331085</v>
      </c>
      <c r="L93" s="1">
        <v>971117</v>
      </c>
    </row>
    <row r="94" spans="2:12" x14ac:dyDescent="0.2">
      <c r="B94" s="1">
        <v>2021</v>
      </c>
      <c r="C94" s="1">
        <v>124575149</v>
      </c>
      <c r="D94" s="1">
        <v>17967224</v>
      </c>
      <c r="E94" s="1">
        <v>39448446</v>
      </c>
      <c r="F94" s="1">
        <v>21735869</v>
      </c>
      <c r="G94" s="1">
        <v>46988555</v>
      </c>
      <c r="H94" s="1">
        <v>16402279</v>
      </c>
      <c r="I94" s="1">
        <v>7389196</v>
      </c>
      <c r="J94" s="1">
        <v>3874882</v>
      </c>
      <c r="K94" s="1">
        <v>5665842</v>
      </c>
      <c r="L94" s="1">
        <v>1037304</v>
      </c>
    </row>
    <row r="95" spans="2:12" x14ac:dyDescent="0.2">
      <c r="B95" s="1">
        <v>2022</v>
      </c>
      <c r="C95" s="1">
        <v>128482368</v>
      </c>
      <c r="D95" s="1">
        <v>18377366</v>
      </c>
      <c r="E95" s="1">
        <v>40555663</v>
      </c>
      <c r="F95" s="1">
        <v>22001502</v>
      </c>
      <c r="G95" s="1">
        <v>49597318</v>
      </c>
      <c r="H95" s="1">
        <v>16327885</v>
      </c>
      <c r="I95" s="1">
        <v>7603639</v>
      </c>
      <c r="J95" s="1">
        <v>3782423</v>
      </c>
      <c r="K95" s="1">
        <v>5845121</v>
      </c>
      <c r="L95" s="1">
        <v>1146183</v>
      </c>
    </row>
    <row r="96" spans="2:12" x14ac:dyDescent="0.2">
      <c r="B96" s="1">
        <v>2023</v>
      </c>
      <c r="C96" s="1">
        <v>131593659</v>
      </c>
      <c r="D96" s="1">
        <v>18390763</v>
      </c>
      <c r="E96" s="1">
        <v>43119466</v>
      </c>
      <c r="F96" s="1">
        <v>23001925</v>
      </c>
      <c r="G96" s="1">
        <v>48189854</v>
      </c>
      <c r="H96" s="1">
        <v>17282414</v>
      </c>
      <c r="I96" s="1">
        <v>7866857</v>
      </c>
      <c r="J96" s="1">
        <v>3780146</v>
      </c>
      <c r="K96" s="1">
        <v>5539026</v>
      </c>
      <c r="L96" s="1">
        <v>1204734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Salim</dc:creator>
  <cp:lastModifiedBy>Hardy Salim</cp:lastModifiedBy>
  <dcterms:created xsi:type="dcterms:W3CDTF">2026-07-27T08:58:18Z</dcterms:created>
  <dcterms:modified xsi:type="dcterms:W3CDTF">2026-07-27T09:07:52Z</dcterms:modified>
</cp:coreProperties>
</file>