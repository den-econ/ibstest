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y/Documents/GitHub/complexity/data/raw/"/>
    </mc:Choice>
  </mc:AlternateContent>
  <xr:revisionPtr revIDLastSave="0" documentId="13_ncr:1_{1CA9FA40-A2A8-C240-8B9A-92D3AE22B119}" xr6:coauthVersionLast="47" xr6:coauthVersionMax="47" xr10:uidLastSave="{00000000-0000-0000-0000-000000000000}"/>
  <bookViews>
    <workbookView xWindow="0" yWindow="500" windowWidth="28800" windowHeight="17500" activeTab="3" xr2:uid="{8C3D2040-389E-0C45-9944-0B7922FB456C}"/>
  </bookViews>
  <sheets>
    <sheet name="Legend" sheetId="2" r:id="rId1"/>
    <sheet name="FIXING IMPORT" sheetId="21" r:id="rId2"/>
    <sheet name="RAW_CEIC" sheetId="15" r:id="rId3"/>
    <sheet name="WIDE_CEIC" sheetId="16" r:id="rId4"/>
    <sheet name="WIDE_IDD" sheetId="7" r:id="rId5"/>
  </sheets>
  <definedNames>
    <definedName name="_xlnm._FilterDatabase" localSheetId="1" hidden="1">'FIXING IMPORT'!$B$155:$C$188</definedName>
    <definedName name="_xlnm._FilterDatabase" localSheetId="2" hidden="1">RAW_CEIC!$A$1:$AD$267</definedName>
    <definedName name="_xlnm._FilterDatabase" localSheetId="3" hidden="1">WIDE_CEIC!$A$1:$AC$239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7" i="16" l="1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38" i="16"/>
  <c r="A136" i="16"/>
  <c r="A68" i="16"/>
  <c r="A204" i="16"/>
  <c r="A102" i="16"/>
  <c r="A34" i="16"/>
  <c r="A170" i="16"/>
  <c r="A272" i="16"/>
  <c r="A239" i="16"/>
  <c r="A241" i="16"/>
  <c r="A245" i="16"/>
  <c r="A242" i="16"/>
  <c r="A264" i="16"/>
  <c r="A267" i="16"/>
  <c r="A265" i="16"/>
  <c r="A266" i="16"/>
  <c r="A269" i="16"/>
  <c r="A243" i="16"/>
  <c r="A273" i="16"/>
  <c r="A258" i="16"/>
  <c r="A257" i="16"/>
  <c r="A271" i="16"/>
  <c r="A270" i="16"/>
  <c r="A247" i="16"/>
  <c r="A249" i="16"/>
  <c r="A263" i="16"/>
  <c r="A262" i="16"/>
  <c r="A260" i="16"/>
  <c r="A261" i="16"/>
  <c r="A259" i="16"/>
  <c r="A254" i="16"/>
  <c r="A252" i="16"/>
  <c r="A251" i="16"/>
  <c r="A244" i="16"/>
  <c r="A268" i="16"/>
  <c r="A250" i="16"/>
  <c r="A253" i="16"/>
  <c r="A246" i="16"/>
  <c r="A255" i="16"/>
  <c r="A248" i="16"/>
  <c r="A256" i="16"/>
  <c r="A240" i="16"/>
  <c r="A127" i="16"/>
  <c r="A229" i="16"/>
  <c r="A195" i="16"/>
  <c r="A161" i="16"/>
  <c r="A93" i="16"/>
  <c r="A67" i="16"/>
  <c r="A59" i="16"/>
  <c r="A25" i="16"/>
  <c r="A201" i="16"/>
  <c r="A167" i="16"/>
  <c r="A31" i="16"/>
  <c r="A235" i="16"/>
  <c r="A99" i="16"/>
  <c r="A65" i="16"/>
  <c r="A133" i="16"/>
  <c r="A11" i="16"/>
  <c r="A181" i="16"/>
  <c r="A147" i="16"/>
  <c r="A79" i="16"/>
  <c r="A113" i="16"/>
  <c r="A215" i="16"/>
  <c r="A45" i="16"/>
  <c r="A200" i="16"/>
  <c r="A132" i="16"/>
  <c r="A185" i="16"/>
  <c r="A156" i="16"/>
  <c r="A166" i="16"/>
  <c r="A202" i="16"/>
  <c r="A190" i="16"/>
  <c r="A178" i="16"/>
  <c r="A169" i="16"/>
  <c r="A168" i="16"/>
  <c r="A188" i="16"/>
  <c r="A64" i="16"/>
  <c r="A117" i="16"/>
  <c r="A197" i="16"/>
  <c r="A144" i="16"/>
  <c r="A101" i="16"/>
  <c r="A187" i="16"/>
  <c r="A192" i="16"/>
  <c r="A98" i="16"/>
  <c r="A12" i="16"/>
  <c r="A203" i="16"/>
  <c r="A49" i="16"/>
  <c r="A100" i="16"/>
  <c r="A165" i="16"/>
  <c r="A155" i="16"/>
  <c r="A54" i="16"/>
  <c r="A191" i="16"/>
  <c r="A163" i="16"/>
  <c r="A196" i="16"/>
  <c r="A33" i="16"/>
  <c r="A199" i="16"/>
  <c r="A173" i="16"/>
  <c r="A120" i="16"/>
  <c r="A66" i="16"/>
  <c r="A78" i="16"/>
  <c r="A63" i="16"/>
  <c r="A171" i="16"/>
  <c r="A174" i="16"/>
  <c r="A30" i="16"/>
  <c r="A180" i="16"/>
  <c r="A32" i="16"/>
  <c r="A162" i="16"/>
  <c r="A135" i="16"/>
  <c r="A60" i="16"/>
  <c r="A154" i="16"/>
  <c r="A128" i="16"/>
  <c r="A182" i="16"/>
  <c r="A10" i="16"/>
  <c r="A131" i="16"/>
  <c r="A76" i="16"/>
  <c r="A15" i="16"/>
  <c r="A137" i="16"/>
  <c r="A8" i="16"/>
  <c r="A112" i="16"/>
  <c r="A42" i="16"/>
  <c r="A158" i="16"/>
  <c r="A146" i="16"/>
  <c r="A142" i="16"/>
  <c r="A151" i="16"/>
  <c r="A91" i="16"/>
  <c r="A134" i="16"/>
  <c r="A97" i="16"/>
  <c r="A184" i="16"/>
  <c r="A179" i="16"/>
  <c r="A61" i="16"/>
  <c r="A26" i="16"/>
  <c r="A234" i="16"/>
  <c r="A198" i="16"/>
  <c r="A140" i="16"/>
  <c r="A29" i="16"/>
  <c r="A95" i="16"/>
  <c r="A23" i="16"/>
  <c r="A94" i="16"/>
  <c r="A55" i="16"/>
  <c r="A237" i="16"/>
  <c r="A56" i="16"/>
  <c r="A86" i="16"/>
  <c r="A129" i="16"/>
  <c r="A87" i="16"/>
  <c r="A110" i="16"/>
  <c r="A122" i="16"/>
  <c r="A193" i="16"/>
  <c r="A123" i="16"/>
  <c r="A159" i="16"/>
  <c r="A83" i="16"/>
  <c r="A20" i="16"/>
  <c r="A18" i="16"/>
  <c r="A27" i="16"/>
  <c r="A17" i="16"/>
  <c r="A19" i="16"/>
  <c r="A22" i="16"/>
  <c r="A236" i="16"/>
  <c r="A74" i="16"/>
  <c r="A44" i="16"/>
  <c r="A103" i="16"/>
  <c r="A52" i="16"/>
  <c r="A35" i="16"/>
  <c r="A70" i="16"/>
  <c r="A157" i="16"/>
  <c r="A124" i="16"/>
  <c r="A88" i="16"/>
  <c r="A90" i="16"/>
  <c r="A21" i="16"/>
  <c r="A6" i="16"/>
  <c r="A189" i="16"/>
  <c r="A164" i="16"/>
  <c r="A38" i="16"/>
  <c r="A145" i="16"/>
  <c r="A24" i="16"/>
  <c r="A4" i="16"/>
  <c r="A212" i="16"/>
  <c r="A176" i="16"/>
  <c r="A106" i="16"/>
  <c r="A89" i="16"/>
  <c r="A62" i="16"/>
  <c r="A108" i="16"/>
  <c r="A72" i="16"/>
  <c r="A2" i="16"/>
  <c r="A214" i="16"/>
  <c r="A138" i="16"/>
  <c r="A139" i="16"/>
  <c r="A125" i="16"/>
  <c r="A121" i="16"/>
  <c r="A7" i="16"/>
  <c r="A143" i="16"/>
  <c r="A233" i="16"/>
  <c r="A231" i="16"/>
  <c r="A130" i="16"/>
  <c r="A224" i="16"/>
  <c r="A77" i="16"/>
  <c r="A43" i="16"/>
  <c r="A40" i="16"/>
  <c r="A186" i="16"/>
  <c r="A96" i="16"/>
  <c r="A53" i="16"/>
  <c r="A230" i="16"/>
  <c r="A28" i="16"/>
  <c r="A57" i="16"/>
  <c r="A226" i="16"/>
  <c r="A41" i="16"/>
  <c r="A183" i="16"/>
  <c r="A48" i="16"/>
  <c r="A9" i="16"/>
  <c r="A111" i="16"/>
  <c r="A75" i="16"/>
  <c r="A177" i="16"/>
  <c r="A109" i="16"/>
  <c r="A71" i="16"/>
  <c r="A219" i="16"/>
  <c r="A223" i="16"/>
  <c r="A105" i="16"/>
  <c r="A227" i="16"/>
  <c r="A107" i="16"/>
  <c r="A172" i="16"/>
  <c r="A104" i="16"/>
  <c r="A210" i="16"/>
  <c r="A85" i="16"/>
  <c r="A92" i="16"/>
  <c r="A225" i="16"/>
  <c r="A69" i="16"/>
  <c r="A222" i="16"/>
  <c r="A3" i="16"/>
  <c r="A153" i="16"/>
  <c r="A5" i="16"/>
  <c r="A208" i="16"/>
  <c r="A13" i="16"/>
  <c r="A51" i="16"/>
  <c r="A73" i="16"/>
  <c r="A116" i="16"/>
  <c r="A37" i="16"/>
  <c r="A14" i="16"/>
  <c r="A82" i="16"/>
  <c r="A205" i="16"/>
  <c r="A213" i="16"/>
  <c r="A119" i="16"/>
  <c r="A16" i="16"/>
  <c r="A148" i="16"/>
  <c r="A206" i="16"/>
  <c r="A232" i="16"/>
  <c r="A160" i="16"/>
  <c r="A36" i="16"/>
  <c r="A126" i="16"/>
  <c r="A175" i="16"/>
  <c r="A194" i="16"/>
  <c r="A81" i="16"/>
  <c r="A211" i="16"/>
  <c r="A150" i="16"/>
  <c r="A221" i="16"/>
  <c r="A84" i="16"/>
  <c r="A141" i="16"/>
  <c r="A207" i="16"/>
  <c r="A47" i="16"/>
  <c r="A152" i="16"/>
  <c r="A118" i="16"/>
  <c r="A46" i="16"/>
  <c r="A50" i="16"/>
  <c r="A114" i="16"/>
  <c r="A115" i="16"/>
  <c r="A149" i="16"/>
  <c r="A80" i="16"/>
  <c r="A228" i="16"/>
  <c r="A58" i="16"/>
  <c r="A39" i="16"/>
  <c r="A209" i="16"/>
  <c r="A218" i="16"/>
  <c r="A217" i="16"/>
  <c r="A220" i="16"/>
  <c r="A216" i="16"/>
  <c r="M93" i="21"/>
  <c r="L93" i="21"/>
  <c r="K93" i="21"/>
  <c r="J93" i="21"/>
  <c r="I93" i="21"/>
  <c r="H93" i="21"/>
  <c r="G93" i="21"/>
  <c r="F93" i="21"/>
  <c r="E93" i="21"/>
  <c r="D93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E188" i="21"/>
  <c r="M111" i="21" s="1"/>
  <c r="E187" i="21"/>
  <c r="G110" i="21" s="1"/>
  <c r="G37" i="21" s="1"/>
  <c r="E186" i="21"/>
  <c r="I109" i="21" s="1"/>
  <c r="I36" i="21" s="1"/>
  <c r="E185" i="21"/>
  <c r="K108" i="21" s="1"/>
  <c r="K35" i="21" s="1"/>
  <c r="E184" i="21"/>
  <c r="M107" i="21" s="1"/>
  <c r="M34" i="21" s="1"/>
  <c r="E183" i="21"/>
  <c r="G106" i="21" s="1"/>
  <c r="G33" i="21" s="1"/>
  <c r="E182" i="21"/>
  <c r="I105" i="21" s="1"/>
  <c r="I32" i="21" s="1"/>
  <c r="E181" i="21"/>
  <c r="K104" i="21" s="1"/>
  <c r="K31" i="21" s="1"/>
  <c r="E180" i="21"/>
  <c r="M103" i="21" s="1"/>
  <c r="M30" i="21" s="1"/>
  <c r="E179" i="21"/>
  <c r="G102" i="21" s="1"/>
  <c r="G29" i="21" s="1"/>
  <c r="E178" i="21"/>
  <c r="I101" i="21" s="1"/>
  <c r="I28" i="21" s="1"/>
  <c r="E177" i="21"/>
  <c r="K100" i="21" s="1"/>
  <c r="K27" i="21" s="1"/>
  <c r="E176" i="21"/>
  <c r="M99" i="21" s="1"/>
  <c r="M26" i="21" s="1"/>
  <c r="E175" i="21"/>
  <c r="G98" i="21" s="1"/>
  <c r="G25" i="21" s="1"/>
  <c r="E174" i="21"/>
  <c r="I97" i="21" s="1"/>
  <c r="I24" i="21" s="1"/>
  <c r="E173" i="21"/>
  <c r="K96" i="21" s="1"/>
  <c r="K23" i="21" s="1"/>
  <c r="E172" i="21"/>
  <c r="M95" i="21" s="1"/>
  <c r="E171" i="21"/>
  <c r="G94" i="21" s="1"/>
  <c r="G21" i="21" s="1"/>
  <c r="E169" i="21"/>
  <c r="K92" i="21" s="1"/>
  <c r="K19" i="21" s="1"/>
  <c r="E168" i="21"/>
  <c r="M91" i="21" s="1"/>
  <c r="M18" i="21" s="1"/>
  <c r="E167" i="21"/>
  <c r="G90" i="21" s="1"/>
  <c r="G17" i="21" s="1"/>
  <c r="E166" i="21"/>
  <c r="I89" i="21" s="1"/>
  <c r="I16" i="21" s="1"/>
  <c r="E165" i="21"/>
  <c r="K88" i="21" s="1"/>
  <c r="K15" i="21" s="1"/>
  <c r="E164" i="21"/>
  <c r="M87" i="21" s="1"/>
  <c r="M14" i="21" s="1"/>
  <c r="E163" i="21"/>
  <c r="G86" i="21" s="1"/>
  <c r="G13" i="21" s="1"/>
  <c r="E162" i="21"/>
  <c r="I85" i="21" s="1"/>
  <c r="I12" i="21" s="1"/>
  <c r="E161" i="21"/>
  <c r="K84" i="21" s="1"/>
  <c r="K11" i="21" s="1"/>
  <c r="E160" i="21"/>
  <c r="M83" i="21" s="1"/>
  <c r="M10" i="21" s="1"/>
  <c r="E159" i="21"/>
  <c r="G82" i="21" s="1"/>
  <c r="G9" i="21" s="1"/>
  <c r="E158" i="21"/>
  <c r="I81" i="21" s="1"/>
  <c r="I8" i="21" s="1"/>
  <c r="E157" i="21"/>
  <c r="K80" i="21" s="1"/>
  <c r="K7" i="21" s="1"/>
  <c r="E156" i="21"/>
  <c r="M79" i="21" s="1"/>
  <c r="M6" i="21" s="1"/>
  <c r="E155" i="21"/>
  <c r="G78" i="21" s="1"/>
  <c r="G5" i="21" s="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M38" i="21"/>
  <c r="M22" i="21"/>
  <c r="N21" i="2"/>
  <c r="N20" i="2"/>
  <c r="N19" i="2"/>
  <c r="N18" i="2"/>
  <c r="N17" i="2"/>
  <c r="N16" i="2"/>
  <c r="N15" i="2"/>
  <c r="F79" i="21" l="1"/>
  <c r="F6" i="21" s="1"/>
  <c r="G79" i="21"/>
  <c r="G6" i="21" s="1"/>
  <c r="G87" i="21"/>
  <c r="G14" i="21" s="1"/>
  <c r="M101" i="21"/>
  <c r="M28" i="21" s="1"/>
  <c r="D104" i="21"/>
  <c r="K78" i="21"/>
  <c r="K5" i="21" s="1"/>
  <c r="E104" i="21"/>
  <c r="F87" i="21"/>
  <c r="F14" i="21" s="1"/>
  <c r="H98" i="21"/>
  <c r="H25" i="21" s="1"/>
  <c r="I98" i="21"/>
  <c r="I25" i="21" s="1"/>
  <c r="M89" i="21"/>
  <c r="M16" i="21" s="1"/>
  <c r="J89" i="21"/>
  <c r="J16" i="21" s="1"/>
  <c r="J81" i="21"/>
  <c r="J8" i="21" s="1"/>
  <c r="M104" i="21"/>
  <c r="M31" i="21" s="1"/>
  <c r="M81" i="21"/>
  <c r="M8" i="21" s="1"/>
  <c r="D96" i="21"/>
  <c r="D23" i="21" s="1"/>
  <c r="E109" i="21"/>
  <c r="E36" i="21" s="1"/>
  <c r="K86" i="21"/>
  <c r="K13" i="21" s="1"/>
  <c r="L96" i="21"/>
  <c r="L23" i="21" s="1"/>
  <c r="F109" i="21"/>
  <c r="F36" i="21" s="1"/>
  <c r="F83" i="21"/>
  <c r="F10" i="21" s="1"/>
  <c r="L84" i="21"/>
  <c r="L11" i="21" s="1"/>
  <c r="F91" i="21"/>
  <c r="F18" i="21" s="1"/>
  <c r="L92" i="21"/>
  <c r="L19" i="21" s="1"/>
  <c r="D100" i="21"/>
  <c r="D27" i="21" s="1"/>
  <c r="J101" i="21"/>
  <c r="J28" i="21" s="1"/>
  <c r="H108" i="21"/>
  <c r="H35" i="21" s="1"/>
  <c r="H78" i="21"/>
  <c r="H5" i="21" s="1"/>
  <c r="K81" i="21"/>
  <c r="K8" i="21" s="1"/>
  <c r="G83" i="21"/>
  <c r="G10" i="21" s="1"/>
  <c r="M84" i="21"/>
  <c r="M11" i="21" s="1"/>
  <c r="K89" i="21"/>
  <c r="K16" i="21" s="1"/>
  <c r="G91" i="21"/>
  <c r="G18" i="21" s="1"/>
  <c r="M92" i="21"/>
  <c r="M19" i="21" s="1"/>
  <c r="M96" i="21"/>
  <c r="M23" i="21" s="1"/>
  <c r="E100" i="21"/>
  <c r="E27" i="21" s="1"/>
  <c r="K101" i="21"/>
  <c r="K28" i="21" s="1"/>
  <c r="F107" i="21"/>
  <c r="F34" i="21" s="1"/>
  <c r="L108" i="21"/>
  <c r="L35" i="21" s="1"/>
  <c r="I83" i="21"/>
  <c r="I10" i="21" s="1"/>
  <c r="I91" i="21"/>
  <c r="I18" i="21" s="1"/>
  <c r="G100" i="21"/>
  <c r="G27" i="21" s="1"/>
  <c r="G107" i="21"/>
  <c r="G34" i="21" s="1"/>
  <c r="M108" i="21"/>
  <c r="M35" i="21" s="1"/>
  <c r="D82" i="21"/>
  <c r="D9" i="21" s="1"/>
  <c r="J83" i="21"/>
  <c r="J10" i="21" s="1"/>
  <c r="D90" i="21"/>
  <c r="D17" i="21" s="1"/>
  <c r="J91" i="21"/>
  <c r="J18" i="21" s="1"/>
  <c r="H100" i="21"/>
  <c r="H27" i="21" s="1"/>
  <c r="I107" i="21"/>
  <c r="I34" i="21" s="1"/>
  <c r="H82" i="21"/>
  <c r="H9" i="21" s="1"/>
  <c r="H90" i="21"/>
  <c r="H17" i="21" s="1"/>
  <c r="I79" i="21"/>
  <c r="I6" i="21" s="1"/>
  <c r="I82" i="21"/>
  <c r="I9" i="21" s="1"/>
  <c r="E84" i="21"/>
  <c r="E11" i="21" s="1"/>
  <c r="I87" i="21"/>
  <c r="I14" i="21" s="1"/>
  <c r="I90" i="21"/>
  <c r="I17" i="21" s="1"/>
  <c r="E92" i="21"/>
  <c r="E19" i="21" s="1"/>
  <c r="E96" i="21"/>
  <c r="E23" i="21" s="1"/>
  <c r="G99" i="21"/>
  <c r="G26" i="21" s="1"/>
  <c r="M100" i="21"/>
  <c r="M27" i="21" s="1"/>
  <c r="G104" i="21"/>
  <c r="D108" i="21"/>
  <c r="D35" i="21" s="1"/>
  <c r="J109" i="21"/>
  <c r="J36" i="21" s="1"/>
  <c r="D84" i="21"/>
  <c r="D11" i="21" s="1"/>
  <c r="J107" i="21"/>
  <c r="J34" i="21" s="1"/>
  <c r="J79" i="21"/>
  <c r="J6" i="21" s="1"/>
  <c r="K82" i="21"/>
  <c r="K9" i="21" s="1"/>
  <c r="G84" i="21"/>
  <c r="G11" i="21" s="1"/>
  <c r="J87" i="21"/>
  <c r="J14" i="21" s="1"/>
  <c r="K90" i="21"/>
  <c r="K17" i="21" s="1"/>
  <c r="G92" i="21"/>
  <c r="G19" i="21" s="1"/>
  <c r="G96" i="21"/>
  <c r="G23" i="21" s="1"/>
  <c r="I99" i="21"/>
  <c r="I26" i="21" s="1"/>
  <c r="E101" i="21"/>
  <c r="E28" i="21" s="1"/>
  <c r="H104" i="21"/>
  <c r="E108" i="21"/>
  <c r="E35" i="21" s="1"/>
  <c r="K109" i="21"/>
  <c r="K36" i="21" s="1"/>
  <c r="D92" i="21"/>
  <c r="D19" i="21" s="1"/>
  <c r="F99" i="21"/>
  <c r="F26" i="21" s="1"/>
  <c r="L100" i="21"/>
  <c r="L27" i="21" s="1"/>
  <c r="E81" i="21"/>
  <c r="E8" i="21" s="1"/>
  <c r="L82" i="21"/>
  <c r="L9" i="21" s="1"/>
  <c r="H84" i="21"/>
  <c r="H11" i="21" s="1"/>
  <c r="E89" i="21"/>
  <c r="E16" i="21" s="1"/>
  <c r="L90" i="21"/>
  <c r="L17" i="21" s="1"/>
  <c r="H92" i="21"/>
  <c r="H19" i="21" s="1"/>
  <c r="H96" i="21"/>
  <c r="H23" i="21" s="1"/>
  <c r="J99" i="21"/>
  <c r="J26" i="21" s="1"/>
  <c r="F101" i="21"/>
  <c r="F28" i="21" s="1"/>
  <c r="L104" i="21"/>
  <c r="L31" i="21" s="1"/>
  <c r="G108" i="21"/>
  <c r="G35" i="21" s="1"/>
  <c r="M109" i="21"/>
  <c r="M36" i="21" s="1"/>
  <c r="D80" i="21"/>
  <c r="D7" i="21" s="1"/>
  <c r="L80" i="21"/>
  <c r="L7" i="21" s="1"/>
  <c r="J85" i="21"/>
  <c r="J12" i="21" s="1"/>
  <c r="H86" i="21"/>
  <c r="H13" i="21" s="1"/>
  <c r="D88" i="21"/>
  <c r="D15" i="21" s="1"/>
  <c r="L88" i="21"/>
  <c r="L15" i="21" s="1"/>
  <c r="H94" i="21"/>
  <c r="H21" i="21" s="1"/>
  <c r="F95" i="21"/>
  <c r="J97" i="21"/>
  <c r="J24" i="21" s="1"/>
  <c r="H102" i="21"/>
  <c r="H29" i="21" s="1"/>
  <c r="F103" i="21"/>
  <c r="F30" i="21" s="1"/>
  <c r="J105" i="21"/>
  <c r="J32" i="21" s="1"/>
  <c r="H106" i="21"/>
  <c r="H33" i="21" s="1"/>
  <c r="H110" i="21"/>
  <c r="H37" i="21" s="1"/>
  <c r="F111" i="21"/>
  <c r="F38" i="21" s="1"/>
  <c r="M80" i="21"/>
  <c r="M7" i="21" s="1"/>
  <c r="I106" i="21"/>
  <c r="I33" i="21" s="1"/>
  <c r="I110" i="21"/>
  <c r="I37" i="21" s="1"/>
  <c r="I78" i="21"/>
  <c r="I5" i="21" s="1"/>
  <c r="E80" i="21"/>
  <c r="E7" i="21" s="1"/>
  <c r="K85" i="21"/>
  <c r="K12" i="21" s="1"/>
  <c r="I86" i="21"/>
  <c r="I13" i="21" s="1"/>
  <c r="E88" i="21"/>
  <c r="E15" i="21" s="1"/>
  <c r="M88" i="21"/>
  <c r="M15" i="21" s="1"/>
  <c r="I94" i="21"/>
  <c r="I21" i="21" s="1"/>
  <c r="G95" i="21"/>
  <c r="G22" i="21" s="1"/>
  <c r="K97" i="21"/>
  <c r="K24" i="21" s="1"/>
  <c r="I102" i="21"/>
  <c r="I29" i="21" s="1"/>
  <c r="G103" i="21"/>
  <c r="G30" i="21" s="1"/>
  <c r="K105" i="21"/>
  <c r="K32" i="21" s="1"/>
  <c r="G111" i="21"/>
  <c r="G38" i="21" s="1"/>
  <c r="J78" i="21"/>
  <c r="J5" i="21" s="1"/>
  <c r="H79" i="21"/>
  <c r="H6" i="21" s="1"/>
  <c r="F80" i="21"/>
  <c r="F7" i="21" s="1"/>
  <c r="D81" i="21"/>
  <c r="D8" i="21" s="1"/>
  <c r="L81" i="21"/>
  <c r="L8" i="21" s="1"/>
  <c r="J82" i="21"/>
  <c r="J9" i="21" s="1"/>
  <c r="H83" i="21"/>
  <c r="H10" i="21" s="1"/>
  <c r="F84" i="21"/>
  <c r="F11" i="21" s="1"/>
  <c r="D85" i="21"/>
  <c r="D12" i="21" s="1"/>
  <c r="L85" i="21"/>
  <c r="L12" i="21" s="1"/>
  <c r="J86" i="21"/>
  <c r="J13" i="21" s="1"/>
  <c r="H87" i="21"/>
  <c r="H14" i="21" s="1"/>
  <c r="F88" i="21"/>
  <c r="F15" i="21" s="1"/>
  <c r="D89" i="21"/>
  <c r="D16" i="21" s="1"/>
  <c r="L89" i="21"/>
  <c r="L16" i="21" s="1"/>
  <c r="J90" i="21"/>
  <c r="J17" i="21" s="1"/>
  <c r="H91" i="21"/>
  <c r="H18" i="21" s="1"/>
  <c r="F92" i="21"/>
  <c r="F19" i="21" s="1"/>
  <c r="J94" i="21"/>
  <c r="J21" i="21" s="1"/>
  <c r="H95" i="21"/>
  <c r="H22" i="21" s="1"/>
  <c r="F96" i="21"/>
  <c r="F23" i="21" s="1"/>
  <c r="D97" i="21"/>
  <c r="D24" i="21" s="1"/>
  <c r="L97" i="21"/>
  <c r="L24" i="21" s="1"/>
  <c r="J98" i="21"/>
  <c r="J25" i="21" s="1"/>
  <c r="H99" i="21"/>
  <c r="H26" i="21" s="1"/>
  <c r="F100" i="21"/>
  <c r="F27" i="21" s="1"/>
  <c r="D101" i="21"/>
  <c r="D28" i="21" s="1"/>
  <c r="L101" i="21"/>
  <c r="L28" i="21" s="1"/>
  <c r="J102" i="21"/>
  <c r="J29" i="21" s="1"/>
  <c r="H103" i="21"/>
  <c r="H30" i="21" s="1"/>
  <c r="F104" i="21"/>
  <c r="D105" i="21"/>
  <c r="D32" i="21" s="1"/>
  <c r="L105" i="21"/>
  <c r="L32" i="21" s="1"/>
  <c r="J106" i="21"/>
  <c r="J33" i="21" s="1"/>
  <c r="H107" i="21"/>
  <c r="H34" i="21" s="1"/>
  <c r="F108" i="21"/>
  <c r="F35" i="21" s="1"/>
  <c r="D109" i="21"/>
  <c r="D36" i="21" s="1"/>
  <c r="L109" i="21"/>
  <c r="L36" i="21" s="1"/>
  <c r="J110" i="21"/>
  <c r="J37" i="21" s="1"/>
  <c r="H111" i="21"/>
  <c r="H38" i="21" s="1"/>
  <c r="G80" i="21"/>
  <c r="G7" i="21" s="1"/>
  <c r="E85" i="21"/>
  <c r="E12" i="21" s="1"/>
  <c r="M85" i="21"/>
  <c r="M12" i="21" s="1"/>
  <c r="G88" i="21"/>
  <c r="G15" i="21" s="1"/>
  <c r="K94" i="21"/>
  <c r="K21" i="21" s="1"/>
  <c r="I95" i="21"/>
  <c r="I22" i="21" s="1"/>
  <c r="E97" i="21"/>
  <c r="E24" i="21" s="1"/>
  <c r="M97" i="21"/>
  <c r="M24" i="21" s="1"/>
  <c r="K98" i="21"/>
  <c r="K25" i="21" s="1"/>
  <c r="K102" i="21"/>
  <c r="K29" i="21" s="1"/>
  <c r="I103" i="21"/>
  <c r="I30" i="21" s="1"/>
  <c r="E105" i="21"/>
  <c r="E32" i="21" s="1"/>
  <c r="M105" i="21"/>
  <c r="M32" i="21" s="1"/>
  <c r="K106" i="21"/>
  <c r="K33" i="21" s="1"/>
  <c r="K110" i="21"/>
  <c r="K37" i="21" s="1"/>
  <c r="I111" i="21"/>
  <c r="I38" i="21" s="1"/>
  <c r="L78" i="21"/>
  <c r="L5" i="21" s="1"/>
  <c r="F81" i="21"/>
  <c r="F8" i="21" s="1"/>
  <c r="F85" i="21"/>
  <c r="F12" i="21" s="1"/>
  <c r="D86" i="21"/>
  <c r="D13" i="21" s="1"/>
  <c r="L86" i="21"/>
  <c r="L13" i="21" s="1"/>
  <c r="D94" i="21"/>
  <c r="D21" i="21" s="1"/>
  <c r="L94" i="21"/>
  <c r="L21" i="21" s="1"/>
  <c r="J95" i="21"/>
  <c r="J22" i="21" s="1"/>
  <c r="F97" i="21"/>
  <c r="F24" i="21" s="1"/>
  <c r="D98" i="21"/>
  <c r="D25" i="21" s="1"/>
  <c r="L98" i="21"/>
  <c r="L25" i="21" s="1"/>
  <c r="D102" i="21"/>
  <c r="L102" i="21"/>
  <c r="L29" i="21" s="1"/>
  <c r="J103" i="21"/>
  <c r="J30" i="21" s="1"/>
  <c r="F105" i="21"/>
  <c r="F32" i="21" s="1"/>
  <c r="D106" i="21"/>
  <c r="D33" i="21" s="1"/>
  <c r="L106" i="21"/>
  <c r="L33" i="21" s="1"/>
  <c r="D110" i="21"/>
  <c r="D37" i="21" s="1"/>
  <c r="L110" i="21"/>
  <c r="L37" i="21" s="1"/>
  <c r="J111" i="21"/>
  <c r="J38" i="21" s="1"/>
  <c r="D78" i="21"/>
  <c r="D5" i="21" s="1"/>
  <c r="H80" i="21"/>
  <c r="H7" i="21" s="1"/>
  <c r="H88" i="21"/>
  <c r="H15" i="21" s="1"/>
  <c r="E78" i="21"/>
  <c r="E5" i="21" s="1"/>
  <c r="M78" i="21"/>
  <c r="M5" i="21" s="1"/>
  <c r="K79" i="21"/>
  <c r="K6" i="21" s="1"/>
  <c r="I80" i="21"/>
  <c r="I7" i="21" s="1"/>
  <c r="G81" i="21"/>
  <c r="G8" i="21" s="1"/>
  <c r="E82" i="21"/>
  <c r="E9" i="21" s="1"/>
  <c r="M82" i="21"/>
  <c r="M9" i="21" s="1"/>
  <c r="K83" i="21"/>
  <c r="K10" i="21" s="1"/>
  <c r="I84" i="21"/>
  <c r="I11" i="21" s="1"/>
  <c r="G85" i="21"/>
  <c r="G12" i="21" s="1"/>
  <c r="E86" i="21"/>
  <c r="E13" i="21" s="1"/>
  <c r="M86" i="21"/>
  <c r="M13" i="21" s="1"/>
  <c r="K87" i="21"/>
  <c r="K14" i="21" s="1"/>
  <c r="I88" i="21"/>
  <c r="I15" i="21" s="1"/>
  <c r="G89" i="21"/>
  <c r="G16" i="21" s="1"/>
  <c r="E90" i="21"/>
  <c r="E17" i="21" s="1"/>
  <c r="M90" i="21"/>
  <c r="M17" i="21" s="1"/>
  <c r="K91" i="21"/>
  <c r="K18" i="21" s="1"/>
  <c r="I92" i="21"/>
  <c r="I19" i="21" s="1"/>
  <c r="E94" i="21"/>
  <c r="E21" i="21" s="1"/>
  <c r="M94" i="21"/>
  <c r="M21" i="21" s="1"/>
  <c r="K95" i="21"/>
  <c r="K22" i="21" s="1"/>
  <c r="I96" i="21"/>
  <c r="I23" i="21" s="1"/>
  <c r="G97" i="21"/>
  <c r="G24" i="21" s="1"/>
  <c r="E98" i="21"/>
  <c r="E25" i="21" s="1"/>
  <c r="M98" i="21"/>
  <c r="M25" i="21" s="1"/>
  <c r="K99" i="21"/>
  <c r="K26" i="21" s="1"/>
  <c r="I100" i="21"/>
  <c r="I27" i="21" s="1"/>
  <c r="G101" i="21"/>
  <c r="G28" i="21" s="1"/>
  <c r="E102" i="21"/>
  <c r="M102" i="21"/>
  <c r="M29" i="21" s="1"/>
  <c r="K103" i="21"/>
  <c r="K30" i="21" s="1"/>
  <c r="I104" i="21"/>
  <c r="I31" i="21" s="1"/>
  <c r="G105" i="21"/>
  <c r="G32" i="21" s="1"/>
  <c r="E106" i="21"/>
  <c r="E33" i="21" s="1"/>
  <c r="M106" i="21"/>
  <c r="M33" i="21" s="1"/>
  <c r="K107" i="21"/>
  <c r="K34" i="21" s="1"/>
  <c r="I108" i="21"/>
  <c r="I35" i="21" s="1"/>
  <c r="G109" i="21"/>
  <c r="G36" i="21" s="1"/>
  <c r="E110" i="21"/>
  <c r="E37" i="21" s="1"/>
  <c r="M110" i="21"/>
  <c r="M37" i="21" s="1"/>
  <c r="K111" i="21"/>
  <c r="K38" i="21" s="1"/>
  <c r="F78" i="21"/>
  <c r="F5" i="21" s="1"/>
  <c r="D79" i="21"/>
  <c r="D6" i="21" s="1"/>
  <c r="L79" i="21"/>
  <c r="L6" i="21" s="1"/>
  <c r="J80" i="21"/>
  <c r="J7" i="21" s="1"/>
  <c r="H81" i="21"/>
  <c r="H8" i="21" s="1"/>
  <c r="F82" i="21"/>
  <c r="F9" i="21" s="1"/>
  <c r="D83" i="21"/>
  <c r="D10" i="21" s="1"/>
  <c r="L83" i="21"/>
  <c r="L10" i="21" s="1"/>
  <c r="J84" i="21"/>
  <c r="J11" i="21" s="1"/>
  <c r="H85" i="21"/>
  <c r="H12" i="21" s="1"/>
  <c r="F86" i="21"/>
  <c r="F13" i="21" s="1"/>
  <c r="D87" i="21"/>
  <c r="D14" i="21" s="1"/>
  <c r="L87" i="21"/>
  <c r="L14" i="21" s="1"/>
  <c r="J88" i="21"/>
  <c r="J15" i="21" s="1"/>
  <c r="H89" i="21"/>
  <c r="H16" i="21" s="1"/>
  <c r="F90" i="21"/>
  <c r="F17" i="21" s="1"/>
  <c r="D91" i="21"/>
  <c r="D18" i="21" s="1"/>
  <c r="L91" i="21"/>
  <c r="L18" i="21" s="1"/>
  <c r="J92" i="21"/>
  <c r="J19" i="21" s="1"/>
  <c r="F94" i="21"/>
  <c r="F21" i="21" s="1"/>
  <c r="D95" i="21"/>
  <c r="L95" i="21"/>
  <c r="L22" i="21" s="1"/>
  <c r="J96" i="21"/>
  <c r="J23" i="21" s="1"/>
  <c r="H97" i="21"/>
  <c r="H24" i="21" s="1"/>
  <c r="F98" i="21"/>
  <c r="F25" i="21" s="1"/>
  <c r="D99" i="21"/>
  <c r="D26" i="21" s="1"/>
  <c r="L99" i="21"/>
  <c r="L26" i="21" s="1"/>
  <c r="J100" i="21"/>
  <c r="J27" i="21" s="1"/>
  <c r="H101" i="21"/>
  <c r="H28" i="21" s="1"/>
  <c r="F102" i="21"/>
  <c r="F29" i="21" s="1"/>
  <c r="D103" i="21"/>
  <c r="D30" i="21" s="1"/>
  <c r="L103" i="21"/>
  <c r="L30" i="21" s="1"/>
  <c r="J104" i="21"/>
  <c r="J31" i="21" s="1"/>
  <c r="H105" i="21"/>
  <c r="H32" i="21" s="1"/>
  <c r="F106" i="21"/>
  <c r="F33" i="21" s="1"/>
  <c r="D107" i="21"/>
  <c r="D34" i="21" s="1"/>
  <c r="L107" i="21"/>
  <c r="L34" i="21" s="1"/>
  <c r="J108" i="21"/>
  <c r="J35" i="21" s="1"/>
  <c r="H109" i="21"/>
  <c r="H36" i="21" s="1"/>
  <c r="F110" i="21"/>
  <c r="F37" i="21" s="1"/>
  <c r="D111" i="21"/>
  <c r="D38" i="21" s="1"/>
  <c r="L111" i="21"/>
  <c r="L38" i="21" s="1"/>
  <c r="F89" i="21"/>
  <c r="F16" i="21" s="1"/>
  <c r="E79" i="21"/>
  <c r="E6" i="21" s="1"/>
  <c r="E83" i="21"/>
  <c r="E10" i="21" s="1"/>
  <c r="E87" i="21"/>
  <c r="E14" i="21" s="1"/>
  <c r="E91" i="21"/>
  <c r="E18" i="21" s="1"/>
  <c r="E95" i="21"/>
  <c r="E99" i="21"/>
  <c r="E26" i="21" s="1"/>
  <c r="E103" i="21"/>
  <c r="E30" i="21" s="1"/>
  <c r="E107" i="21"/>
  <c r="E34" i="21" s="1"/>
  <c r="E111" i="21"/>
  <c r="E38" i="21" s="1"/>
</calcChain>
</file>

<file path=xl/sharedStrings.xml><?xml version="1.0" encoding="utf-8"?>
<sst xmlns="http://schemas.openxmlformats.org/spreadsheetml/2006/main" count="2415" uniqueCount="136">
  <si>
    <t>Unit</t>
  </si>
  <si>
    <t>IDR bn</t>
  </si>
  <si>
    <t>Source</t>
  </si>
  <si>
    <t>Aceh</t>
  </si>
  <si>
    <t>Riau</t>
  </si>
  <si>
    <t>Jambi</t>
  </si>
  <si>
    <t>Bengkulu</t>
  </si>
  <si>
    <t>Lampung</t>
  </si>
  <si>
    <t>DKI Jakarta</t>
  </si>
  <si>
    <t>DI Yogyakarta</t>
  </si>
  <si>
    <t>Banten</t>
  </si>
  <si>
    <t>Bali</t>
  </si>
  <si>
    <t>Gorontalo</t>
  </si>
  <si>
    <t>Maluku</t>
  </si>
  <si>
    <t>Papua</t>
  </si>
  <si>
    <t>Gross Domestic Product: SNA 2008: 2010p</t>
  </si>
  <si>
    <t>provname</t>
  </si>
  <si>
    <t>Description</t>
  </si>
  <si>
    <t>CEIC</t>
  </si>
  <si>
    <t>Gross Fixed Capital Formation: SNA 2008: 2010p</t>
  </si>
  <si>
    <t>Export of Goods and Services: SNA 2008: 2010p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</si>
  <si>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</si>
  <si>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</si>
  <si>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</si>
  <si>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</si>
  <si>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</si>
  <si>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</si>
  <si>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</si>
  <si>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Kep. Bangka Belitung</t>
  </si>
  <si>
    <t>Kep. Riau</t>
  </si>
  <si>
    <t>Maluku Utara</t>
  </si>
  <si>
    <t>Nusa Tenggara Barat</t>
  </si>
  <si>
    <t>Nusa Tenggara Timur</t>
  </si>
  <si>
    <t>Papua Barat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</si>
  <si>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</si>
  <si>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</si>
  <si>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</si>
  <si>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</si>
  <si>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</si>
  <si>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</si>
  <si>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</si>
  <si>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</si>
  <si>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GDP expenditure on exports (in IDR Million)</t>
  </si>
  <si>
    <t>GDP expenditure on imports (in IDR Million)</t>
  </si>
  <si>
    <t>INDODAPOER</t>
  </si>
  <si>
    <t>prov</t>
  </si>
  <si>
    <t>Kalimantan Utara</t>
  </si>
  <si>
    <t>Total GDP including Oil and Gas (in IDR Million), Current Price</t>
  </si>
  <si>
    <t>GDP expenditure on gross fixed capital formation (in IDR Million), Current Price</t>
  </si>
  <si>
    <t>Gross Domestic Product: SNA 2008</t>
  </si>
  <si>
    <t>Import of Goods and Services: SNA 2008: 2010p</t>
  </si>
  <si>
    <t>First Year</t>
  </si>
  <si>
    <t>Last Year</t>
  </si>
  <si>
    <t>Mining &amp; Quarrying: SNA 2008: 2010p</t>
  </si>
  <si>
    <t>Manufacturing Industry: SNA 2008: 2010p</t>
  </si>
  <si>
    <t>Agriculture, Forestry &amp; Fisheries: SNA 2008: 2010p</t>
  </si>
  <si>
    <t>North Sumatera</t>
  </si>
  <si>
    <t>West Sumatera</t>
  </si>
  <si>
    <t>South Sumatera</t>
  </si>
  <si>
    <t>Bangka Belitung</t>
  </si>
  <si>
    <t>Riau Islands</t>
  </si>
  <si>
    <t>West Java</t>
  </si>
  <si>
    <t>Central Java</t>
  </si>
  <si>
    <t>East Java</t>
  </si>
  <si>
    <t>West Kalimantan</t>
  </si>
  <si>
    <t>West Nusa Tenggara</t>
  </si>
  <si>
    <t>Central Kalimantan</t>
  </si>
  <si>
    <t>East Nusa Tenggara</t>
  </si>
  <si>
    <t>South Kalimantan</t>
  </si>
  <si>
    <t>East Kalimantan</t>
  </si>
  <si>
    <t>North Kalimantan</t>
  </si>
  <si>
    <t>North Sulawesi</t>
  </si>
  <si>
    <t>Central Sulawesi</t>
  </si>
  <si>
    <t>South Sulawesi</t>
  </si>
  <si>
    <t>South East Sulawesi</t>
  </si>
  <si>
    <t>West Sulawesi</t>
  </si>
  <si>
    <t>North Maluku</t>
  </si>
  <si>
    <t>West Papua</t>
  </si>
  <si>
    <t>South West Papua</t>
  </si>
  <si>
    <t>South Papua</t>
  </si>
  <si>
    <t>Central Papua</t>
  </si>
  <si>
    <t>Papua Mountains</t>
  </si>
  <si>
    <t>indicator</t>
  </si>
  <si>
    <t>rdgp_ceic</t>
  </si>
  <si>
    <t>agrr_ceic</t>
  </si>
  <si>
    <t>mnqr_ceic</t>
  </si>
  <si>
    <t>mfqr_ceic</t>
  </si>
  <si>
    <t>expr_ceic</t>
  </si>
  <si>
    <t>impr_ceic</t>
  </si>
  <si>
    <t>gfcr_ceic</t>
  </si>
  <si>
    <t>provname_en</t>
  </si>
  <si>
    <t>Papua Barat Daya</t>
  </si>
  <si>
    <t>Papua Selatan</t>
  </si>
  <si>
    <t>Papua Tengah</t>
  </si>
  <si>
    <t>Papua Pegunungan</t>
  </si>
  <si>
    <t>provname_pap</t>
  </si>
  <si>
    <t>Gajadi dipake</t>
  </si>
  <si>
    <t>N</t>
  </si>
  <si>
    <t>gdpn_idd</t>
  </si>
  <si>
    <t>gfcn_idd</t>
  </si>
  <si>
    <t>expn_idd</t>
  </si>
  <si>
    <t>impn_idd</t>
  </si>
  <si>
    <t>gdpr_ceic</t>
  </si>
  <si>
    <t>mnfr_ceic</t>
  </si>
  <si>
    <t>gdpn_ceic</t>
  </si>
  <si>
    <t>Indicator</t>
  </si>
  <si>
    <t>Name</t>
  </si>
  <si>
    <t>Variable recap</t>
  </si>
  <si>
    <t>Sheet recap</t>
  </si>
  <si>
    <t>RAW_CEIC</t>
  </si>
  <si>
    <t>WIDE_CEIC</t>
  </si>
  <si>
    <t>WIDE_IDD</t>
  </si>
  <si>
    <t>LONG_CEIC</t>
  </si>
  <si>
    <t>LONG_IBS</t>
  </si>
  <si>
    <t>LONG_ALL</t>
  </si>
  <si>
    <t>Raw data extracted from CEIC</t>
  </si>
  <si>
    <t>CEIC data with some correction of new provinces. The island of Papua is simplified into two provinces: Papua Barat and Papua. We also add Kalimantan Utara's export and import (2010-2011) as well as Maluku Utara's export and import (from GDP, 2010-2024) manually from BPS' publication.</t>
  </si>
  <si>
    <t>INDODAPOER data. New provinces are reconstructed using city-level data when available, or estimated using the historical trend of their share relative to the parent province.</t>
  </si>
  <si>
    <t>Long format of WIDE_CEIC</t>
  </si>
  <si>
    <t>Long format of IBS data at the province level.</t>
  </si>
  <si>
    <t>Combined LONG_CEIC and LONG_IBS</t>
  </si>
  <si>
    <t>Sheet</t>
  </si>
  <si>
    <t>Step 2: Calculate import to GDP</t>
  </si>
  <si>
    <t>share</t>
  </si>
  <si>
    <t>2010-SNA93</t>
  </si>
  <si>
    <t>2010-SNA08</t>
  </si>
  <si>
    <t>Conversion</t>
  </si>
  <si>
    <t>Step 1: Conversion factor (2010 SNA93 to 2010 SNA08)</t>
  </si>
  <si>
    <t>Step 2: Import SNA93 data</t>
  </si>
  <si>
    <t>Step 3: New dataset</t>
  </si>
  <si>
    <t>rgdp_ceic</t>
  </si>
  <si>
    <t>pprj_ceic</t>
  </si>
  <si>
    <t>BPS' population projection</t>
  </si>
  <si>
    <t>000 people</t>
  </si>
  <si>
    <t>prov_name</t>
  </si>
  <si>
    <t>area_ceic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</si>
</sst>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2" tint="-0.249977111117893"/>
      <name val="Helvetica"/>
      <family val="2"/>
    </font>
    <font>
      <b/>
      <sz val="12"/>
      <color theme="2" tint="-0.249977111117893"/>
      <name val="Helvetica"/>
      <family val="2"/>
    </font>
    <font>
      <i/>
      <sz val="12"/>
      <color theme="2" tint="-0.249977111117893"/>
      <name val="Helvetica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1" xfId="0" applyNumberFormat="1" applyBorder="1"/>
    <xf numFmtId="1" fontId="1" fillId="0" borderId="1" xfId="0" applyNumberFormat="1" applyFont="1" applyBorder="1"/>
    <xf numFmtId="1" fontId="1" fillId="2" borderId="0" xfId="0" applyNumberFormat="1" applyFont="1" applyFill="1"/>
    <xf numFmtId="10" fontId="0" fillId="0" borderId="1" xfId="1" applyNumberFormat="1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1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5FEF-4FBB-BC44-A6FC-275F5586075A}">
  <dimension ref="B2:N66"/>
  <sheetViews>
    <sheetView topLeftCell="B8" zoomScale="84" workbookViewId="0">
      <selection activeCell="B18" sqref="B18"/>
    </sheetView>
  </sheetViews>
  <sheetFormatPr baseColWidth="10" defaultRowHeight="16"/>
  <cols>
    <col min="2" max="2" width="13.85546875" customWidth="1"/>
    <col min="3" max="3" width="63.5703125" bestFit="1" customWidth="1"/>
    <col min="4" max="4" width="11.28515625" style="5" customWidth="1"/>
    <col min="5" max="5" width="16.85546875" style="5" customWidth="1"/>
    <col min="6" max="12" width="15.7109375" customWidth="1"/>
  </cols>
  <sheetData>
    <row r="2" spans="2:14">
      <c r="B2" s="2" t="s">
        <v>108</v>
      </c>
    </row>
    <row r="4" spans="2:14">
      <c r="B4" s="11" t="s">
        <v>106</v>
      </c>
      <c r="C4" s="11" t="s">
        <v>17</v>
      </c>
    </row>
    <row r="5" spans="2:14">
      <c r="B5" s="12" t="s">
        <v>109</v>
      </c>
      <c r="C5" s="12" t="s">
        <v>115</v>
      </c>
    </row>
    <row r="6" spans="2:14" ht="68">
      <c r="B6" s="12" t="s">
        <v>110</v>
      </c>
      <c r="C6" s="13" t="s">
        <v>116</v>
      </c>
    </row>
    <row r="7" spans="2:14" ht="51">
      <c r="B7" s="12" t="s">
        <v>111</v>
      </c>
      <c r="C7" s="13" t="s">
        <v>117</v>
      </c>
    </row>
    <row r="8" spans="2:14">
      <c r="B8" s="12" t="s">
        <v>112</v>
      </c>
      <c r="C8" s="12" t="s">
        <v>118</v>
      </c>
    </row>
    <row r="9" spans="2:14">
      <c r="B9" s="12" t="s">
        <v>113</v>
      </c>
      <c r="C9" s="12" t="s">
        <v>119</v>
      </c>
    </row>
    <row r="10" spans="2:14">
      <c r="B10" s="12" t="s">
        <v>114</v>
      </c>
      <c r="C10" s="12" t="s">
        <v>120</v>
      </c>
    </row>
    <row r="12" spans="2:14">
      <c r="B12" s="2" t="s">
        <v>107</v>
      </c>
    </row>
    <row r="14" spans="2:14">
      <c r="B14" s="3" t="s">
        <v>105</v>
      </c>
      <c r="C14" s="3" t="s">
        <v>17</v>
      </c>
      <c r="D14" s="3" t="s">
        <v>121</v>
      </c>
      <c r="E14" s="3" t="s">
        <v>0</v>
      </c>
      <c r="F14" s="3" t="s">
        <v>2</v>
      </c>
      <c r="G14" s="3" t="s">
        <v>51</v>
      </c>
      <c r="H14" s="3" t="s">
        <v>52</v>
      </c>
      <c r="I14" s="3" t="s">
        <v>46</v>
      </c>
      <c r="J14" s="3" t="s">
        <v>34</v>
      </c>
      <c r="K14" s="3" t="s">
        <v>33</v>
      </c>
      <c r="L14" s="3" t="s">
        <v>29</v>
      </c>
      <c r="M14" s="2" t="s">
        <v>30</v>
      </c>
      <c r="N14" s="3" t="s">
        <v>97</v>
      </c>
    </row>
    <row r="15" spans="2:14">
      <c r="B15" t="s">
        <v>102</v>
      </c>
      <c r="C15" t="s">
        <v>15</v>
      </c>
      <c r="D15" s="5" t="s">
        <v>110</v>
      </c>
      <c r="E15" s="5" t="s">
        <v>1</v>
      </c>
      <c r="F15" s="5" t="s">
        <v>18</v>
      </c>
      <c r="G15">
        <v>2000</v>
      </c>
      <c r="H15">
        <v>2025</v>
      </c>
      <c r="I15" s="14">
        <v>2010</v>
      </c>
      <c r="J15" s="14">
        <v>2005</v>
      </c>
      <c r="K15" s="14">
        <v>2002</v>
      </c>
      <c r="L15" s="14">
        <v>2003</v>
      </c>
      <c r="M15" s="14">
        <v>2000</v>
      </c>
      <c r="N15">
        <f>34*25-(I15-2000)-(J15-2000)-(K15-2000)-(L15-2000)-(M15-2000)</f>
        <v>830</v>
      </c>
    </row>
    <row r="16" spans="2:14">
      <c r="B16" t="s">
        <v>89</v>
      </c>
      <c r="C16" t="s">
        <v>19</v>
      </c>
      <c r="D16" s="5" t="s">
        <v>110</v>
      </c>
      <c r="E16" s="5" t="s">
        <v>1</v>
      </c>
      <c r="F16" s="5" t="s">
        <v>18</v>
      </c>
      <c r="G16">
        <v>2000</v>
      </c>
      <c r="H16">
        <v>2025</v>
      </c>
      <c r="I16" s="14">
        <v>2010</v>
      </c>
      <c r="J16" s="14">
        <v>2004</v>
      </c>
      <c r="K16" s="14">
        <v>2002</v>
      </c>
      <c r="L16" s="14">
        <v>2003</v>
      </c>
      <c r="M16" s="14">
        <v>2000</v>
      </c>
      <c r="N16">
        <f t="shared" ref="N16:N21" si="0">34*25-(I16-2000)-(J16-2000)-(K16-2000)-(L16-2000)-(M16-2000)</f>
        <v>831</v>
      </c>
    </row>
    <row r="17" spans="2:14">
      <c r="B17" t="s">
        <v>84</v>
      </c>
      <c r="C17" t="s">
        <v>55</v>
      </c>
      <c r="D17" s="5" t="s">
        <v>110</v>
      </c>
      <c r="E17" s="5" t="s">
        <v>1</v>
      </c>
      <c r="F17" s="5" t="s">
        <v>18</v>
      </c>
      <c r="G17">
        <v>2000</v>
      </c>
      <c r="H17">
        <v>2025</v>
      </c>
      <c r="I17" s="14">
        <v>2010</v>
      </c>
      <c r="J17" s="14">
        <v>2005</v>
      </c>
      <c r="K17" s="14">
        <v>2002</v>
      </c>
      <c r="L17" s="14">
        <v>2003</v>
      </c>
      <c r="M17" s="14">
        <v>2000</v>
      </c>
      <c r="N17">
        <f t="shared" si="0"/>
        <v>830</v>
      </c>
    </row>
    <row r="18" spans="2:14">
      <c r="B18" t="s">
        <v>85</v>
      </c>
      <c r="C18" t="s">
        <v>53</v>
      </c>
      <c r="D18" s="5" t="s">
        <v>110</v>
      </c>
      <c r="E18" s="5" t="s">
        <v>1</v>
      </c>
      <c r="F18" s="5" t="s">
        <v>18</v>
      </c>
      <c r="G18">
        <v>2000</v>
      </c>
      <c r="H18">
        <v>2025</v>
      </c>
      <c r="I18" s="14">
        <v>2010</v>
      </c>
      <c r="J18" s="14">
        <v>2005</v>
      </c>
      <c r="K18" s="14">
        <v>2002</v>
      </c>
      <c r="L18" s="14">
        <v>2003</v>
      </c>
      <c r="M18" s="14">
        <v>2000</v>
      </c>
      <c r="N18">
        <f t="shared" si="0"/>
        <v>830</v>
      </c>
    </row>
    <row r="19" spans="2:14">
      <c r="B19" t="s">
        <v>103</v>
      </c>
      <c r="C19" t="s">
        <v>54</v>
      </c>
      <c r="D19" s="5" t="s">
        <v>110</v>
      </c>
      <c r="E19" s="5" t="s">
        <v>1</v>
      </c>
      <c r="F19" s="5" t="s">
        <v>18</v>
      </c>
      <c r="G19">
        <v>2000</v>
      </c>
      <c r="H19">
        <v>2025</v>
      </c>
      <c r="I19" s="14">
        <v>2010</v>
      </c>
      <c r="J19" s="14">
        <v>2005</v>
      </c>
      <c r="K19" s="14">
        <v>2002</v>
      </c>
      <c r="L19" s="14">
        <v>2003</v>
      </c>
      <c r="M19" s="14">
        <v>2000</v>
      </c>
      <c r="N19">
        <f t="shared" si="0"/>
        <v>830</v>
      </c>
    </row>
    <row r="20" spans="2:14">
      <c r="B20" t="s">
        <v>87</v>
      </c>
      <c r="C20" t="s">
        <v>20</v>
      </c>
      <c r="D20" s="5" t="s">
        <v>110</v>
      </c>
      <c r="E20" s="5" t="s">
        <v>1</v>
      </c>
      <c r="F20" s="5" t="s">
        <v>18</v>
      </c>
      <c r="G20">
        <v>2000</v>
      </c>
      <c r="H20">
        <v>2024</v>
      </c>
      <c r="I20" s="14">
        <v>2010</v>
      </c>
      <c r="J20" s="14">
        <v>2004</v>
      </c>
      <c r="K20" s="14">
        <v>2002</v>
      </c>
      <c r="L20" s="14">
        <v>2003</v>
      </c>
      <c r="M20" s="15">
        <v>2010</v>
      </c>
      <c r="N20">
        <f t="shared" si="0"/>
        <v>821</v>
      </c>
    </row>
    <row r="21" spans="2:14">
      <c r="B21" t="s">
        <v>88</v>
      </c>
      <c r="C21" t="s">
        <v>50</v>
      </c>
      <c r="D21" s="5" t="s">
        <v>110</v>
      </c>
      <c r="E21" s="5" t="s">
        <v>1</v>
      </c>
      <c r="F21" s="5" t="s">
        <v>18</v>
      </c>
      <c r="G21">
        <v>2000</v>
      </c>
      <c r="H21">
        <v>2024</v>
      </c>
      <c r="I21" s="14">
        <v>2010</v>
      </c>
      <c r="J21" s="14">
        <v>2004</v>
      </c>
      <c r="K21" s="14">
        <v>2002</v>
      </c>
      <c r="L21" s="14">
        <v>2003</v>
      </c>
      <c r="M21" s="15">
        <v>2010</v>
      </c>
      <c r="N21">
        <f t="shared" si="0"/>
        <v>821</v>
      </c>
    </row>
    <row r="22" spans="2:14">
      <c r="B22" s="1" t="s">
        <v>131</v>
      </c>
      <c r="C22" t="s">
        <v>132</v>
      </c>
      <c r="D22" s="5" t="s">
        <v>110</v>
      </c>
      <c r="E22" s="5" t="s">
        <v>133</v>
      </c>
      <c r="F22" s="5" t="s">
        <v>18</v>
      </c>
      <c r="G22">
        <v>2000</v>
      </c>
      <c r="H22">
        <v>2025</v>
      </c>
      <c r="I22" s="14">
        <v>2010</v>
      </c>
      <c r="J22" s="14">
        <v>2004</v>
      </c>
      <c r="K22" s="14">
        <v>2002</v>
      </c>
      <c r="L22" s="14">
        <v>2003</v>
      </c>
      <c r="M22" s="15">
        <v>2010</v>
      </c>
    </row>
    <row r="23" spans="2:14">
      <c r="I23" s="4"/>
      <c r="J23" s="4"/>
    </row>
    <row r="24" spans="2:14">
      <c r="B24" s="10" t="s">
        <v>96</v>
      </c>
      <c r="F24" s="5"/>
      <c r="I24" s="4"/>
      <c r="J24" s="4"/>
    </row>
    <row r="25" spans="2:14">
      <c r="B25" s="8" t="s">
        <v>105</v>
      </c>
      <c r="C25" s="8" t="s">
        <v>17</v>
      </c>
      <c r="D25" s="9" t="s">
        <v>121</v>
      </c>
      <c r="E25" s="9" t="s">
        <v>0</v>
      </c>
      <c r="F25" s="9" t="s">
        <v>2</v>
      </c>
      <c r="G25" s="8" t="s">
        <v>51</v>
      </c>
      <c r="H25" s="8" t="s">
        <v>52</v>
      </c>
    </row>
    <row r="26" spans="2:14">
      <c r="B26" s="6" t="s">
        <v>104</v>
      </c>
      <c r="C26" s="6" t="s">
        <v>49</v>
      </c>
      <c r="D26" s="7" t="s">
        <v>111</v>
      </c>
      <c r="E26" s="7" t="s">
        <v>1</v>
      </c>
      <c r="F26" s="7" t="s">
        <v>18</v>
      </c>
      <c r="G26" s="6">
        <v>2000</v>
      </c>
      <c r="H26" s="6">
        <v>2025</v>
      </c>
    </row>
    <row r="27" spans="2:14">
      <c r="B27" s="6" t="s">
        <v>98</v>
      </c>
      <c r="C27" s="6" t="s">
        <v>47</v>
      </c>
      <c r="D27" s="7" t="s">
        <v>111</v>
      </c>
      <c r="E27" s="7" t="s">
        <v>1</v>
      </c>
      <c r="F27" s="7" t="s">
        <v>44</v>
      </c>
      <c r="G27" s="6">
        <v>2000</v>
      </c>
      <c r="H27" s="6">
        <v>2013</v>
      </c>
    </row>
    <row r="28" spans="2:14">
      <c r="B28" s="6" t="s">
        <v>99</v>
      </c>
      <c r="C28" s="6" t="s">
        <v>48</v>
      </c>
      <c r="D28" s="7" t="s">
        <v>111</v>
      </c>
      <c r="E28" s="7" t="s">
        <v>1</v>
      </c>
      <c r="F28" s="7" t="s">
        <v>44</v>
      </c>
      <c r="G28" s="6">
        <v>2000</v>
      </c>
      <c r="H28" s="6">
        <v>2013</v>
      </c>
    </row>
    <row r="29" spans="2:14">
      <c r="B29" s="6" t="s">
        <v>100</v>
      </c>
      <c r="C29" s="6" t="s">
        <v>42</v>
      </c>
      <c r="D29" s="7" t="s">
        <v>111</v>
      </c>
      <c r="E29" s="7" t="s">
        <v>1</v>
      </c>
      <c r="F29" s="7" t="s">
        <v>44</v>
      </c>
      <c r="G29" s="6">
        <v>2000</v>
      </c>
      <c r="H29" s="6">
        <v>2013</v>
      </c>
    </row>
    <row r="30" spans="2:14">
      <c r="B30" s="6" t="s">
        <v>101</v>
      </c>
      <c r="C30" s="6" t="s">
        <v>43</v>
      </c>
      <c r="D30" s="7" t="s">
        <v>111</v>
      </c>
      <c r="E30" s="7" t="s">
        <v>1</v>
      </c>
      <c r="F30" s="7" t="s">
        <v>44</v>
      </c>
      <c r="G30" s="6">
        <v>2000</v>
      </c>
      <c r="H30" s="6">
        <v>2013</v>
      </c>
    </row>
    <row r="31" spans="2:14">
      <c r="D31"/>
    </row>
    <row r="32" spans="2:14">
      <c r="B32" s="2" t="s">
        <v>45</v>
      </c>
      <c r="C32" s="2" t="s">
        <v>16</v>
      </c>
      <c r="D32" s="2" t="s">
        <v>45</v>
      </c>
    </row>
    <row r="33" spans="2:4">
      <c r="B33">
        <v>11</v>
      </c>
      <c r="C33" t="s">
        <v>3</v>
      </c>
      <c r="D33">
        <v>11</v>
      </c>
    </row>
    <row r="34" spans="2:4">
      <c r="B34">
        <v>51</v>
      </c>
      <c r="C34" t="s">
        <v>11</v>
      </c>
      <c r="D34">
        <v>51</v>
      </c>
    </row>
    <row r="35" spans="2:4">
      <c r="B35">
        <v>36</v>
      </c>
      <c r="C35" t="s">
        <v>10</v>
      </c>
      <c r="D35">
        <v>36</v>
      </c>
    </row>
    <row r="36" spans="2:4">
      <c r="B36">
        <v>17</v>
      </c>
      <c r="C36" t="s">
        <v>6</v>
      </c>
      <c r="D36">
        <v>17</v>
      </c>
    </row>
    <row r="37" spans="2:4">
      <c r="B37">
        <v>34</v>
      </c>
      <c r="C37" t="s">
        <v>9</v>
      </c>
      <c r="D37">
        <v>34</v>
      </c>
    </row>
    <row r="38" spans="2:4">
      <c r="B38">
        <v>31</v>
      </c>
      <c r="C38" t="s">
        <v>8</v>
      </c>
      <c r="D38">
        <v>31</v>
      </c>
    </row>
    <row r="39" spans="2:4">
      <c r="B39">
        <v>75</v>
      </c>
      <c r="C39" t="s">
        <v>12</v>
      </c>
      <c r="D39">
        <v>75</v>
      </c>
    </row>
    <row r="40" spans="2:4">
      <c r="B40">
        <v>15</v>
      </c>
      <c r="C40" t="s">
        <v>5</v>
      </c>
      <c r="D40">
        <v>15</v>
      </c>
    </row>
    <row r="41" spans="2:4">
      <c r="B41">
        <v>32</v>
      </c>
      <c r="C41" t="s">
        <v>21</v>
      </c>
      <c r="D41">
        <v>32</v>
      </c>
    </row>
    <row r="42" spans="2:4">
      <c r="B42">
        <v>33</v>
      </c>
      <c r="C42" t="s">
        <v>22</v>
      </c>
      <c r="D42">
        <v>33</v>
      </c>
    </row>
    <row r="43" spans="2:4">
      <c r="B43">
        <v>35</v>
      </c>
      <c r="C43" t="s">
        <v>23</v>
      </c>
      <c r="D43">
        <v>35</v>
      </c>
    </row>
    <row r="44" spans="2:4">
      <c r="B44">
        <v>61</v>
      </c>
      <c r="C44" t="s">
        <v>24</v>
      </c>
      <c r="D44">
        <v>61</v>
      </c>
    </row>
    <row r="45" spans="2:4">
      <c r="B45">
        <v>63</v>
      </c>
      <c r="C45" t="s">
        <v>25</v>
      </c>
      <c r="D45">
        <v>63</v>
      </c>
    </row>
    <row r="46" spans="2:4">
      <c r="B46">
        <v>62</v>
      </c>
      <c r="C46" t="s">
        <v>26</v>
      </c>
      <c r="D46">
        <v>62</v>
      </c>
    </row>
    <row r="47" spans="2:4">
      <c r="B47">
        <v>64</v>
      </c>
      <c r="C47" t="s">
        <v>27</v>
      </c>
      <c r="D47">
        <v>64</v>
      </c>
    </row>
    <row r="48" spans="2:4">
      <c r="B48">
        <v>65</v>
      </c>
      <c r="C48" t="s">
        <v>46</v>
      </c>
      <c r="D48">
        <v>65</v>
      </c>
    </row>
    <row r="49" spans="2:4">
      <c r="B49">
        <v>19</v>
      </c>
      <c r="C49" t="s">
        <v>28</v>
      </c>
      <c r="D49">
        <v>19</v>
      </c>
    </row>
    <row r="50" spans="2:4">
      <c r="B50">
        <v>21</v>
      </c>
      <c r="C50" t="s">
        <v>29</v>
      </c>
      <c r="D50">
        <v>21</v>
      </c>
    </row>
    <row r="51" spans="2:4">
      <c r="B51">
        <v>18</v>
      </c>
      <c r="C51" t="s">
        <v>7</v>
      </c>
      <c r="D51">
        <v>18</v>
      </c>
    </row>
    <row r="52" spans="2:4">
      <c r="B52">
        <v>81</v>
      </c>
      <c r="C52" t="s">
        <v>13</v>
      </c>
      <c r="D52">
        <v>81</v>
      </c>
    </row>
    <row r="53" spans="2:4">
      <c r="B53">
        <v>82</v>
      </c>
      <c r="C53" t="s">
        <v>30</v>
      </c>
      <c r="D53">
        <v>82</v>
      </c>
    </row>
    <row r="54" spans="2:4">
      <c r="B54">
        <v>52</v>
      </c>
      <c r="C54" t="s">
        <v>31</v>
      </c>
      <c r="D54">
        <v>52</v>
      </c>
    </row>
    <row r="55" spans="2:4">
      <c r="B55">
        <v>53</v>
      </c>
      <c r="C55" t="s">
        <v>32</v>
      </c>
      <c r="D55">
        <v>53</v>
      </c>
    </row>
    <row r="56" spans="2:4">
      <c r="B56">
        <v>94</v>
      </c>
      <c r="C56" t="s">
        <v>14</v>
      </c>
      <c r="D56">
        <v>94</v>
      </c>
    </row>
    <row r="57" spans="2:4">
      <c r="B57">
        <v>91</v>
      </c>
      <c r="C57" t="s">
        <v>33</v>
      </c>
      <c r="D57">
        <v>91</v>
      </c>
    </row>
    <row r="58" spans="2:4">
      <c r="B58">
        <v>14</v>
      </c>
      <c r="C58" t="s">
        <v>4</v>
      </c>
      <c r="D58">
        <v>14</v>
      </c>
    </row>
    <row r="59" spans="2:4">
      <c r="B59">
        <v>76</v>
      </c>
      <c r="C59" t="s">
        <v>34</v>
      </c>
      <c r="D59">
        <v>76</v>
      </c>
    </row>
    <row r="60" spans="2:4">
      <c r="B60">
        <v>73</v>
      </c>
      <c r="C60" t="s">
        <v>35</v>
      </c>
      <c r="D60">
        <v>73</v>
      </c>
    </row>
    <row r="61" spans="2:4">
      <c r="B61">
        <v>72</v>
      </c>
      <c r="C61" t="s">
        <v>36</v>
      </c>
      <c r="D61">
        <v>72</v>
      </c>
    </row>
    <row r="62" spans="2:4">
      <c r="B62">
        <v>74</v>
      </c>
      <c r="C62" t="s">
        <v>37</v>
      </c>
      <c r="D62">
        <v>74</v>
      </c>
    </row>
    <row r="63" spans="2:4">
      <c r="B63">
        <v>71</v>
      </c>
      <c r="C63" t="s">
        <v>38</v>
      </c>
      <c r="D63">
        <v>71</v>
      </c>
    </row>
    <row r="64" spans="2:4">
      <c r="B64">
        <v>13</v>
      </c>
      <c r="C64" t="s">
        <v>39</v>
      </c>
      <c r="D64">
        <v>13</v>
      </c>
    </row>
    <row r="65" spans="2:4">
      <c r="B65">
        <v>16</v>
      </c>
      <c r="C65" t="s">
        <v>40</v>
      </c>
      <c r="D65">
        <v>16</v>
      </c>
    </row>
    <row r="66" spans="2:4">
      <c r="B66">
        <v>12</v>
      </c>
      <c r="C66" t="s">
        <v>41</v>
      </c>
      <c r="D6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6A64-FA3F-9E40-8FD5-FD43761E10C9}">
  <dimension ref="A2:AC188"/>
  <sheetViews>
    <sheetView topLeftCell="A59" zoomScale="75" workbookViewId="0">
      <selection activeCell="B78" sqref="B78:AB111"/>
    </sheetView>
  </sheetViews>
  <sheetFormatPr baseColWidth="10" defaultRowHeight="16"/>
  <cols>
    <col min="4" max="4" width="11.42578125" bestFit="1" customWidth="1"/>
  </cols>
  <sheetData>
    <row r="2" spans="2:28">
      <c r="B2" s="20" t="s">
        <v>122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2:28">
      <c r="B3" s="26"/>
    </row>
    <row r="4" spans="2:28">
      <c r="B4" s="19" t="s">
        <v>16</v>
      </c>
      <c r="C4" s="19" t="s">
        <v>82</v>
      </c>
      <c r="D4" s="19">
        <v>2000</v>
      </c>
      <c r="E4" s="19">
        <v>2001</v>
      </c>
      <c r="F4" s="19">
        <v>2002</v>
      </c>
      <c r="G4" s="19">
        <v>2003</v>
      </c>
      <c r="H4" s="19">
        <v>2004</v>
      </c>
      <c r="I4" s="19">
        <v>2005</v>
      </c>
      <c r="J4" s="19">
        <v>2006</v>
      </c>
      <c r="K4" s="19">
        <v>2007</v>
      </c>
      <c r="L4" s="19">
        <v>2008</v>
      </c>
      <c r="M4" s="19">
        <v>2009</v>
      </c>
      <c r="N4" s="19">
        <v>2010</v>
      </c>
      <c r="O4" s="19">
        <v>2011</v>
      </c>
      <c r="P4" s="19">
        <v>2012</v>
      </c>
      <c r="Q4" s="19">
        <v>2013</v>
      </c>
      <c r="R4" s="19">
        <v>2014</v>
      </c>
      <c r="S4" s="19">
        <v>2015</v>
      </c>
      <c r="T4" s="19">
        <v>2016</v>
      </c>
      <c r="U4" s="19">
        <v>2017</v>
      </c>
      <c r="V4" s="19">
        <v>2018</v>
      </c>
      <c r="W4" s="19">
        <v>2019</v>
      </c>
      <c r="X4" s="19">
        <v>2020</v>
      </c>
      <c r="Y4" s="19">
        <v>2021</v>
      </c>
      <c r="Z4" s="19">
        <v>2022</v>
      </c>
      <c r="AA4" s="19">
        <v>2023</v>
      </c>
      <c r="AB4" s="19">
        <v>2024</v>
      </c>
    </row>
    <row r="5" spans="2:28">
      <c r="B5" s="18" t="s">
        <v>3</v>
      </c>
      <c r="C5" s="18" t="s">
        <v>123</v>
      </c>
      <c r="D5" s="21">
        <f t="shared" ref="D5:AB5" si="0">D78/D41</f>
        <v>0.42761293082073004</v>
      </c>
      <c r="E5" s="21">
        <f t="shared" si="0"/>
        <v>0.48745762069947851</v>
      </c>
      <c r="F5" s="21">
        <f t="shared" si="0"/>
        <v>7.7022652635184666E-2</v>
      </c>
      <c r="G5" s="21">
        <f t="shared" si="0"/>
        <v>0.13900631832762309</v>
      </c>
      <c r="H5" s="21">
        <f t="shared" si="0"/>
        <v>9.8896087328992688E-2</v>
      </c>
      <c r="I5" s="21">
        <f t="shared" si="0"/>
        <v>0.86498619896503559</v>
      </c>
      <c r="J5" s="21">
        <f t="shared" si="0"/>
        <v>6.776372001861182E-2</v>
      </c>
      <c r="K5" s="21">
        <f t="shared" si="0"/>
        <v>0.42491019017843495</v>
      </c>
      <c r="L5" s="21">
        <f t="shared" si="0"/>
        <v>0.51545320629096802</v>
      </c>
      <c r="M5" s="21">
        <f t="shared" si="0"/>
        <v>0.5717248559985243</v>
      </c>
      <c r="N5" s="21">
        <f t="shared" si="0"/>
        <v>0.53603644652108828</v>
      </c>
      <c r="O5" s="21">
        <f t="shared" si="0"/>
        <v>0.58895219499098617</v>
      </c>
      <c r="P5" s="21">
        <f t="shared" si="0"/>
        <v>0.63646756994807197</v>
      </c>
      <c r="Q5" s="21">
        <f t="shared" si="0"/>
        <v>0.50631630307275066</v>
      </c>
      <c r="R5" s="21">
        <f t="shared" si="0"/>
        <v>0.50925614092860128</v>
      </c>
      <c r="S5" s="21">
        <f t="shared" si="0"/>
        <v>0.54000084627525635</v>
      </c>
      <c r="T5" s="21">
        <f t="shared" si="0"/>
        <v>0.50563864167657713</v>
      </c>
      <c r="U5" s="21">
        <f t="shared" si="0"/>
        <v>0.50105832295661823</v>
      </c>
      <c r="V5" s="21">
        <f t="shared" si="0"/>
        <v>0.48772806262196416</v>
      </c>
      <c r="W5" s="21">
        <f t="shared" si="0"/>
        <v>0.48255122059913602</v>
      </c>
      <c r="X5" s="21">
        <f t="shared" si="0"/>
        <v>0.48137073452397455</v>
      </c>
      <c r="Y5" s="21">
        <f t="shared" si="0"/>
        <v>0.47734270312391214</v>
      </c>
      <c r="Z5" s="21">
        <f t="shared" si="0"/>
        <v>0.52571815421960399</v>
      </c>
      <c r="AA5" s="21">
        <f t="shared" si="0"/>
        <v>0.56213723988906472</v>
      </c>
      <c r="AB5" s="21">
        <f t="shared" si="0"/>
        <v>0.58047909718586543</v>
      </c>
    </row>
    <row r="6" spans="2:28">
      <c r="B6" s="18" t="s">
        <v>11</v>
      </c>
      <c r="C6" s="18" t="s">
        <v>123</v>
      </c>
      <c r="D6" s="21">
        <f t="shared" ref="D6:AB6" si="1">D79/D42</f>
        <v>5.0130700850226903E-2</v>
      </c>
      <c r="E6" s="21">
        <f t="shared" si="1"/>
        <v>4.8516289137546915E-2</v>
      </c>
      <c r="F6" s="21">
        <f t="shared" si="1"/>
        <v>4.873334298383418E-2</v>
      </c>
      <c r="G6" s="21">
        <f t="shared" si="1"/>
        <v>4.9377863976865694E-2</v>
      </c>
      <c r="H6" s="21">
        <f t="shared" si="1"/>
        <v>8.4227238969159582E-2</v>
      </c>
      <c r="I6" s="21">
        <f t="shared" si="1"/>
        <v>9.2482286260084853E-2</v>
      </c>
      <c r="J6" s="21">
        <f t="shared" si="1"/>
        <v>7.8732320802623657E-2</v>
      </c>
      <c r="K6" s="21">
        <f t="shared" si="1"/>
        <v>9.3030643861992418E-2</v>
      </c>
      <c r="L6" s="21">
        <f t="shared" si="1"/>
        <v>0.11977485234588303</v>
      </c>
      <c r="M6" s="21">
        <f t="shared" si="1"/>
        <v>0.13513431272747681</v>
      </c>
      <c r="N6" s="21">
        <f t="shared" si="1"/>
        <v>0.14223465002540661</v>
      </c>
      <c r="O6" s="21">
        <f t="shared" si="1"/>
        <v>0.11706031569080978</v>
      </c>
      <c r="P6" s="21">
        <f t="shared" si="1"/>
        <v>5.6339375927250107E-2</v>
      </c>
      <c r="Q6" s="21">
        <f t="shared" si="1"/>
        <v>7.0583981122833109E-2</v>
      </c>
      <c r="R6" s="21">
        <f t="shared" si="1"/>
        <v>8.4380947922817015E-2</v>
      </c>
      <c r="S6" s="21">
        <f t="shared" si="1"/>
        <v>7.1740894138552183E-2</v>
      </c>
      <c r="T6" s="21">
        <f t="shared" si="1"/>
        <v>8.2806681207460306E-2</v>
      </c>
      <c r="U6" s="21">
        <f t="shared" si="1"/>
        <v>9.188485714593575E-2</v>
      </c>
      <c r="V6" s="21">
        <f t="shared" si="1"/>
        <v>0.10753686649985553</v>
      </c>
      <c r="W6" s="21">
        <f t="shared" si="1"/>
        <v>8.7990322080485878E-2</v>
      </c>
      <c r="X6" s="21">
        <f t="shared" si="1"/>
        <v>2.1175890164157961E-2</v>
      </c>
      <c r="Y6" s="21">
        <f t="shared" si="1"/>
        <v>3.8167225681935966E-3</v>
      </c>
      <c r="Z6" s="21">
        <f t="shared" si="1"/>
        <v>2.6765046754472804E-2</v>
      </c>
      <c r="AA6" s="21">
        <f t="shared" si="1"/>
        <v>5.0340734571938675E-2</v>
      </c>
      <c r="AB6" s="21">
        <f t="shared" si="1"/>
        <v>5.4160948230984926E-2</v>
      </c>
    </row>
    <row r="7" spans="2:28">
      <c r="B7" s="18" t="s">
        <v>10</v>
      </c>
      <c r="C7" s="18" t="s">
        <v>123</v>
      </c>
      <c r="D7" s="21">
        <f t="shared" ref="D7:AB7" si="2">D80/D43</f>
        <v>0.7246953884292191</v>
      </c>
      <c r="E7" s="21">
        <f t="shared" si="2"/>
        <v>0.67793069017873975</v>
      </c>
      <c r="F7" s="21">
        <f t="shared" si="2"/>
        <v>0.7229111128067518</v>
      </c>
      <c r="G7" s="21">
        <f t="shared" si="2"/>
        <v>0.76269530174441669</v>
      </c>
      <c r="H7" s="21">
        <f t="shared" si="2"/>
        <v>0.80923963811013522</v>
      </c>
      <c r="I7" s="21">
        <f t="shared" si="2"/>
        <v>0.83711332692417217</v>
      </c>
      <c r="J7" s="21">
        <f t="shared" si="2"/>
        <v>0.8831292083324046</v>
      </c>
      <c r="K7" s="21">
        <f t="shared" si="2"/>
        <v>0.89643626922201636</v>
      </c>
      <c r="L7" s="21">
        <f t="shared" si="2"/>
        <v>0.93742726321619818</v>
      </c>
      <c r="M7" s="21">
        <f t="shared" si="2"/>
        <v>0.76190706343778336</v>
      </c>
      <c r="N7" s="21">
        <f t="shared" si="2"/>
        <v>0.83088033879493273</v>
      </c>
      <c r="O7" s="21">
        <f t="shared" si="2"/>
        <v>0.82267546890180387</v>
      </c>
      <c r="P7" s="21">
        <f t="shared" si="2"/>
        <v>0.84821235995134903</v>
      </c>
      <c r="Q7" s="21">
        <f t="shared" si="2"/>
        <v>0.75388115202162775</v>
      </c>
      <c r="R7" s="21">
        <f t="shared" si="2"/>
        <v>0.73590981532533406</v>
      </c>
      <c r="S7" s="21">
        <f t="shared" si="2"/>
        <v>0.72159574207803989</v>
      </c>
      <c r="T7" s="21">
        <f t="shared" si="2"/>
        <v>0.69915942651082419</v>
      </c>
      <c r="U7" s="21">
        <f t="shared" si="2"/>
        <v>0.73964256391951488</v>
      </c>
      <c r="V7" s="21">
        <f t="shared" si="2"/>
        <v>0.71650246653307381</v>
      </c>
      <c r="W7" s="21">
        <f t="shared" si="2"/>
        <v>0.6701862639747691</v>
      </c>
      <c r="X7" s="21">
        <f t="shared" si="2"/>
        <v>0.67108799897384441</v>
      </c>
      <c r="Y7" s="21">
        <f t="shared" si="2"/>
        <v>0.69674164471366695</v>
      </c>
      <c r="Z7" s="21">
        <f t="shared" si="2"/>
        <v>0.70816774424058715</v>
      </c>
      <c r="AA7" s="21">
        <f t="shared" si="2"/>
        <v>0.67059664081283388</v>
      </c>
      <c r="AB7" s="21">
        <f t="shared" si="2"/>
        <v>0.69557636060426686</v>
      </c>
    </row>
    <row r="8" spans="2:28">
      <c r="B8" s="18" t="s">
        <v>6</v>
      </c>
      <c r="C8" s="18" t="s">
        <v>123</v>
      </c>
      <c r="D8" s="21">
        <f t="shared" ref="D8:AB8" si="3">D81/D44</f>
        <v>0.60686146377273487</v>
      </c>
      <c r="E8" s="21">
        <f t="shared" si="3"/>
        <v>0.57884254777027389</v>
      </c>
      <c r="F8" s="21">
        <f t="shared" si="3"/>
        <v>0.5667330385563325</v>
      </c>
      <c r="G8" s="21">
        <f t="shared" si="3"/>
        <v>0.55139536026364355</v>
      </c>
      <c r="H8" s="21">
        <f t="shared" si="3"/>
        <v>0.58309189992850807</v>
      </c>
      <c r="I8" s="21">
        <f t="shared" si="3"/>
        <v>0.62613436534881228</v>
      </c>
      <c r="J8" s="21">
        <f t="shared" si="3"/>
        <v>0.62222049612254049</v>
      </c>
      <c r="K8" s="21">
        <f t="shared" si="3"/>
        <v>0.64407053700233263</v>
      </c>
      <c r="L8" s="21">
        <f t="shared" si="3"/>
        <v>0.67617959228604718</v>
      </c>
      <c r="M8" s="21">
        <f t="shared" si="3"/>
        <v>0.63089143973478312</v>
      </c>
      <c r="N8" s="21">
        <f t="shared" si="3"/>
        <v>0.6381343319875955</v>
      </c>
      <c r="O8" s="21">
        <f t="shared" si="3"/>
        <v>0.67121139763910198</v>
      </c>
      <c r="P8" s="21">
        <f t="shared" si="3"/>
        <v>0.69238407610538677</v>
      </c>
      <c r="Q8" s="21">
        <f t="shared" si="3"/>
        <v>0.66761422415101279</v>
      </c>
      <c r="R8" s="21">
        <f t="shared" si="3"/>
        <v>0.66851528788812997</v>
      </c>
      <c r="S8" s="21">
        <f t="shared" si="3"/>
        <v>0.67452162335992427</v>
      </c>
      <c r="T8" s="21">
        <f t="shared" si="3"/>
        <v>0.66862106481432171</v>
      </c>
      <c r="U8" s="21">
        <f t="shared" si="3"/>
        <v>0.68678048398822356</v>
      </c>
      <c r="V8" s="21">
        <f t="shared" si="3"/>
        <v>0.66938165821921913</v>
      </c>
      <c r="W8" s="21">
        <f t="shared" si="3"/>
        <v>0.65761884040984253</v>
      </c>
      <c r="X8" s="21">
        <f t="shared" si="3"/>
        <v>0.64359856922158565</v>
      </c>
      <c r="Y8" s="21">
        <f t="shared" si="3"/>
        <v>0.64483856596592593</v>
      </c>
      <c r="Z8" s="21">
        <f t="shared" si="3"/>
        <v>0.6430998887738395</v>
      </c>
      <c r="AA8" s="21">
        <f t="shared" si="3"/>
        <v>0.63463399780218088</v>
      </c>
      <c r="AB8" s="21">
        <f t="shared" si="3"/>
        <v>0.62581161204782321</v>
      </c>
    </row>
    <row r="9" spans="2:28">
      <c r="B9" s="18" t="s">
        <v>9</v>
      </c>
      <c r="C9" s="18" t="s">
        <v>123</v>
      </c>
      <c r="D9" s="21">
        <f t="shared" ref="D9:AB9" si="4">D82/D45</f>
        <v>2.1409979633600685E-2</v>
      </c>
      <c r="E9" s="21">
        <f t="shared" si="4"/>
        <v>2.2312139464766255E-2</v>
      </c>
      <c r="F9" s="21">
        <f t="shared" si="4"/>
        <v>2.2645958757264627E-2</v>
      </c>
      <c r="G9" s="21">
        <f t="shared" si="4"/>
        <v>2.3444959083443403E-2</v>
      </c>
      <c r="H9" s="21">
        <f t="shared" si="4"/>
        <v>2.3382880471607265E-2</v>
      </c>
      <c r="I9" s="21">
        <f t="shared" si="4"/>
        <v>2.3302367790776234E-2</v>
      </c>
      <c r="J9" s="21">
        <f t="shared" si="4"/>
        <v>2.3433683323606895E-2</v>
      </c>
      <c r="K9" s="21">
        <f t="shared" si="4"/>
        <v>2.3602627317546383E-2</v>
      </c>
      <c r="L9" s="21">
        <f t="shared" si="4"/>
        <v>2.3771778630637196E-2</v>
      </c>
      <c r="M9" s="21">
        <f t="shared" si="4"/>
        <v>2.3532041197827758E-2</v>
      </c>
      <c r="N9" s="21">
        <f t="shared" si="4"/>
        <v>2.350872073960799E-2</v>
      </c>
      <c r="O9" s="21">
        <f t="shared" si="4"/>
        <v>2.2133774958973833E-2</v>
      </c>
      <c r="P9" s="21">
        <f t="shared" si="4"/>
        <v>2.6524147776349032E-2</v>
      </c>
      <c r="Q9" s="21">
        <f t="shared" si="4"/>
        <v>2.9640370069040443E-2</v>
      </c>
      <c r="R9" s="21">
        <f t="shared" si="4"/>
        <v>4.0592148810715878E-2</v>
      </c>
      <c r="S9" s="21">
        <f t="shared" si="4"/>
        <v>4.4669348895686675E-2</v>
      </c>
      <c r="T9" s="21">
        <f t="shared" si="4"/>
        <v>5.123418030500354E-2</v>
      </c>
      <c r="U9" s="21">
        <f t="shared" si="4"/>
        <v>5.3144192403655713E-2</v>
      </c>
      <c r="V9" s="21">
        <f t="shared" si="4"/>
        <v>5.205245566425707E-2</v>
      </c>
      <c r="W9" s="21">
        <f t="shared" si="4"/>
        <v>4.3098706684029993E-2</v>
      </c>
      <c r="X9" s="21">
        <f t="shared" si="4"/>
        <v>3.7695394717449912E-2</v>
      </c>
      <c r="Y9" s="21">
        <f t="shared" si="4"/>
        <v>3.8308264677133393E-2</v>
      </c>
      <c r="Z9" s="21">
        <f t="shared" si="4"/>
        <v>3.6501618263960894E-2</v>
      </c>
      <c r="AA9" s="21">
        <f t="shared" si="4"/>
        <v>3.611023400945243E-2</v>
      </c>
      <c r="AB9" s="21">
        <f t="shared" si="4"/>
        <v>3.613763783660786E-2</v>
      </c>
    </row>
    <row r="10" spans="2:28">
      <c r="B10" s="18" t="s">
        <v>8</v>
      </c>
      <c r="C10" s="18" t="s">
        <v>123</v>
      </c>
      <c r="D10" s="21">
        <f t="shared" ref="D10:AB10" si="5">D83/D46</f>
        <v>0.51373675692251386</v>
      </c>
      <c r="E10" s="21">
        <f t="shared" si="5"/>
        <v>0.38648251182523335</v>
      </c>
      <c r="F10" s="21">
        <f t="shared" si="5"/>
        <v>0.36178596092304294</v>
      </c>
      <c r="G10" s="21">
        <f t="shared" si="5"/>
        <v>0.41841376064628261</v>
      </c>
      <c r="H10" s="21">
        <f t="shared" si="5"/>
        <v>0.49104244502357564</v>
      </c>
      <c r="I10" s="21">
        <f t="shared" si="5"/>
        <v>0.5467098375566255</v>
      </c>
      <c r="J10" s="21">
        <f t="shared" si="5"/>
        <v>0.54412099055080287</v>
      </c>
      <c r="K10" s="21">
        <f t="shared" si="5"/>
        <v>0.57457245808104285</v>
      </c>
      <c r="L10" s="21">
        <f t="shared" si="5"/>
        <v>0.68991796510743653</v>
      </c>
      <c r="M10" s="21">
        <f t="shared" si="5"/>
        <v>0.64713150388069773</v>
      </c>
      <c r="N10" s="21">
        <f t="shared" si="5"/>
        <v>0.65601121083301428</v>
      </c>
      <c r="O10" s="21">
        <f t="shared" si="5"/>
        <v>0.71573826722174938</v>
      </c>
      <c r="P10" s="21">
        <f t="shared" si="5"/>
        <v>0.6904814264779513</v>
      </c>
      <c r="Q10" s="21">
        <f t="shared" si="5"/>
        <v>0.63688307067438266</v>
      </c>
      <c r="R10" s="21">
        <f t="shared" si="5"/>
        <v>0.60507618399860574</v>
      </c>
      <c r="S10" s="21">
        <f t="shared" si="5"/>
        <v>0.55830141524108423</v>
      </c>
      <c r="T10" s="21">
        <f t="shared" si="5"/>
        <v>0.5220215331128536</v>
      </c>
      <c r="U10" s="21">
        <f t="shared" si="5"/>
        <v>0.61490244952444906</v>
      </c>
      <c r="V10" s="21">
        <f t="shared" si="5"/>
        <v>0.7413695641384348</v>
      </c>
      <c r="W10" s="21">
        <f t="shared" si="5"/>
        <v>0.65943812655431056</v>
      </c>
      <c r="X10" s="21">
        <f t="shared" si="5"/>
        <v>0.60210877352654224</v>
      </c>
      <c r="Y10" s="21">
        <f t="shared" si="5"/>
        <v>0.65382568194639734</v>
      </c>
      <c r="Z10" s="21">
        <f t="shared" si="5"/>
        <v>0.6731303202059048</v>
      </c>
      <c r="AA10" s="21">
        <f t="shared" si="5"/>
        <v>0.67544449358591618</v>
      </c>
      <c r="AB10" s="21">
        <f t="shared" si="5"/>
        <v>0.70875010502864977</v>
      </c>
    </row>
    <row r="11" spans="2:28">
      <c r="B11" s="18" t="s">
        <v>12</v>
      </c>
      <c r="C11" s="18" t="s">
        <v>123</v>
      </c>
      <c r="D11" s="21">
        <f t="shared" ref="D11:AB11" si="6">D84/D47</f>
        <v>1.8836277798551737E-2</v>
      </c>
      <c r="E11" s="21">
        <f t="shared" si="6"/>
        <v>2.3150469041335036E-2</v>
      </c>
      <c r="F11" s="21">
        <f t="shared" si="6"/>
        <v>2.2464790861938276E-2</v>
      </c>
      <c r="G11" s="21">
        <f t="shared" si="6"/>
        <v>0.17585265344152984</v>
      </c>
      <c r="H11" s="21">
        <f t="shared" si="6"/>
        <v>0.20176376743845681</v>
      </c>
      <c r="I11" s="21">
        <f t="shared" si="6"/>
        <v>0.1145323031637616</v>
      </c>
      <c r="J11" s="21">
        <f t="shared" si="6"/>
        <v>0.27375992796247617</v>
      </c>
      <c r="K11" s="21">
        <f t="shared" si="6"/>
        <v>0.32373191391011752</v>
      </c>
      <c r="L11" s="21">
        <f t="shared" si="6"/>
        <v>0.38555199822068315</v>
      </c>
      <c r="M11" s="21">
        <f t="shared" si="6"/>
        <v>0.42508910125822974</v>
      </c>
      <c r="N11" s="21">
        <f t="shared" si="6"/>
        <v>0.41569393933210336</v>
      </c>
      <c r="O11" s="21">
        <f t="shared" si="6"/>
        <v>0.42475325095517669</v>
      </c>
      <c r="P11" s="21">
        <f t="shared" si="6"/>
        <v>0.46362624612726516</v>
      </c>
      <c r="Q11" s="21">
        <f t="shared" si="6"/>
        <v>0.42772009570910041</v>
      </c>
      <c r="R11" s="21">
        <f t="shared" si="6"/>
        <v>0.43545993818798306</v>
      </c>
      <c r="S11" s="21">
        <f t="shared" si="6"/>
        <v>0.42327171813733017</v>
      </c>
      <c r="T11" s="21">
        <f t="shared" si="6"/>
        <v>0.38719866722081864</v>
      </c>
      <c r="U11" s="21">
        <f t="shared" si="6"/>
        <v>0.37104589589286058</v>
      </c>
      <c r="V11" s="21">
        <f t="shared" si="6"/>
        <v>0.37692830680669426</v>
      </c>
      <c r="W11" s="21">
        <f t="shared" si="6"/>
        <v>0.35809499602955891</v>
      </c>
      <c r="X11" s="21">
        <f t="shared" si="6"/>
        <v>0.33349040592175283</v>
      </c>
      <c r="Y11" s="21">
        <f t="shared" si="6"/>
        <v>0.35096129201916637</v>
      </c>
      <c r="Z11" s="21">
        <f t="shared" si="6"/>
        <v>0.3442836021058307</v>
      </c>
      <c r="AA11" s="21">
        <f t="shared" si="6"/>
        <v>0.338215914786413</v>
      </c>
      <c r="AB11" s="21">
        <f t="shared" si="6"/>
        <v>0.34100450534930565</v>
      </c>
    </row>
    <row r="12" spans="2:28">
      <c r="B12" s="18" t="s">
        <v>5</v>
      </c>
      <c r="C12" s="18" t="s">
        <v>123</v>
      </c>
      <c r="D12" s="21">
        <f t="shared" ref="D12:AB12" si="7">D85/D48</f>
        <v>0.35830934797779607</v>
      </c>
      <c r="E12" s="21">
        <f t="shared" si="7"/>
        <v>0.38051618938354187</v>
      </c>
      <c r="F12" s="21">
        <f t="shared" si="7"/>
        <v>0.36084875718440851</v>
      </c>
      <c r="G12" s="21">
        <f t="shared" si="7"/>
        <v>0.38154803770571744</v>
      </c>
      <c r="H12" s="21">
        <f t="shared" si="7"/>
        <v>0.39628763809883133</v>
      </c>
      <c r="I12" s="21">
        <f t="shared" si="7"/>
        <v>0.44371657933950837</v>
      </c>
      <c r="J12" s="21">
        <f t="shared" si="7"/>
        <v>0.47657422803810778</v>
      </c>
      <c r="K12" s="21">
        <f t="shared" si="7"/>
        <v>0.52964101130622276</v>
      </c>
      <c r="L12" s="21">
        <f t="shared" si="7"/>
        <v>0.53526464305364729</v>
      </c>
      <c r="M12" s="21">
        <f t="shared" si="7"/>
        <v>0.54290697119262288</v>
      </c>
      <c r="N12" s="21">
        <f t="shared" si="7"/>
        <v>0.65234670493764901</v>
      </c>
      <c r="O12" s="21">
        <f t="shared" si="7"/>
        <v>0.53905397878261019</v>
      </c>
      <c r="P12" s="21">
        <f t="shared" si="7"/>
        <v>0.51483404599971905</v>
      </c>
      <c r="Q12" s="21">
        <f t="shared" si="7"/>
        <v>0.46835487239467283</v>
      </c>
      <c r="R12" s="21">
        <f t="shared" si="7"/>
        <v>0.44900186960219918</v>
      </c>
      <c r="S12" s="21">
        <f t="shared" si="7"/>
        <v>0.4654690749344661</v>
      </c>
      <c r="T12" s="21">
        <f t="shared" si="7"/>
        <v>0.451983895112407</v>
      </c>
      <c r="U12" s="21">
        <f t="shared" si="7"/>
        <v>0.4830957934578135</v>
      </c>
      <c r="V12" s="21">
        <f t="shared" si="7"/>
        <v>0.49810535954048146</v>
      </c>
      <c r="W12" s="21">
        <f t="shared" si="7"/>
        <v>0.49586654362333416</v>
      </c>
      <c r="X12" s="21">
        <f t="shared" si="7"/>
        <v>0.42517007714479099</v>
      </c>
      <c r="Y12" s="21">
        <f t="shared" si="7"/>
        <v>0.44494715849263633</v>
      </c>
      <c r="Z12" s="21">
        <f t="shared" si="7"/>
        <v>0.42493910984540356</v>
      </c>
      <c r="AA12" s="21">
        <f t="shared" si="7"/>
        <v>0.39063323349622964</v>
      </c>
      <c r="AB12" s="21">
        <f t="shared" si="7"/>
        <v>0.38840716862770996</v>
      </c>
    </row>
    <row r="13" spans="2:28">
      <c r="B13" s="18" t="s">
        <v>21</v>
      </c>
      <c r="C13" s="18" t="s">
        <v>123</v>
      </c>
      <c r="D13" s="21">
        <f t="shared" ref="D13:AB13" si="8">D86/D49</f>
        <v>0.35291029938753071</v>
      </c>
      <c r="E13" s="21">
        <f t="shared" si="8"/>
        <v>0.44228306380439902</v>
      </c>
      <c r="F13" s="21">
        <f t="shared" si="8"/>
        <v>0.62600645331618288</v>
      </c>
      <c r="G13" s="21">
        <f t="shared" si="8"/>
        <v>0.62280742630278108</v>
      </c>
      <c r="H13" s="21">
        <f t="shared" si="8"/>
        <v>0.67789955814475789</v>
      </c>
      <c r="I13" s="21">
        <f t="shared" si="8"/>
        <v>0.65488217744259059</v>
      </c>
      <c r="J13" s="21">
        <f t="shared" si="8"/>
        <v>0.551541785212043</v>
      </c>
      <c r="K13" s="21">
        <f t="shared" si="8"/>
        <v>0.4799807106975908</v>
      </c>
      <c r="L13" s="21">
        <f t="shared" si="8"/>
        <v>0.40286126428285174</v>
      </c>
      <c r="M13" s="21">
        <f t="shared" si="8"/>
        <v>0.37287351539387054</v>
      </c>
      <c r="N13" s="21">
        <f t="shared" si="8"/>
        <v>0.381662957125804</v>
      </c>
      <c r="O13" s="21">
        <f t="shared" si="8"/>
        <v>0.4130946475656091</v>
      </c>
      <c r="P13" s="21">
        <f t="shared" si="8"/>
        <v>0.45212180262985524</v>
      </c>
      <c r="Q13" s="21">
        <f t="shared" si="8"/>
        <v>0.33677667053242422</v>
      </c>
      <c r="R13" s="21">
        <f t="shared" si="8"/>
        <v>0.33225301267450119</v>
      </c>
      <c r="S13" s="21">
        <f t="shared" si="8"/>
        <v>0.32376290163291649</v>
      </c>
      <c r="T13" s="21">
        <f t="shared" si="8"/>
        <v>0.30667249792764251</v>
      </c>
      <c r="U13" s="21">
        <f t="shared" si="8"/>
        <v>0.32672904374737821</v>
      </c>
      <c r="V13" s="21">
        <f t="shared" si="8"/>
        <v>0.34169526573073622</v>
      </c>
      <c r="W13" s="21">
        <f t="shared" si="8"/>
        <v>0.34436285650166271</v>
      </c>
      <c r="X13" s="21">
        <f t="shared" si="8"/>
        <v>0.29740991514942339</v>
      </c>
      <c r="Y13" s="21">
        <f t="shared" si="8"/>
        <v>0.33914620080940638</v>
      </c>
      <c r="Z13" s="21">
        <f t="shared" si="8"/>
        <v>0.35006082003073397</v>
      </c>
      <c r="AA13" s="21">
        <f t="shared" si="8"/>
        <v>0.39220316919123271</v>
      </c>
      <c r="AB13" s="21">
        <f t="shared" si="8"/>
        <v>0.42999001531969022</v>
      </c>
    </row>
    <row r="14" spans="2:28">
      <c r="B14" s="18" t="s">
        <v>22</v>
      </c>
      <c r="C14" s="18" t="s">
        <v>123</v>
      </c>
      <c r="D14" s="21">
        <f t="shared" ref="D14:AB14" si="9">D87/D50</f>
        <v>0.21649264964008491</v>
      </c>
      <c r="E14" s="21">
        <f t="shared" si="9"/>
        <v>0.18680278742291268</v>
      </c>
      <c r="F14" s="21">
        <f t="shared" si="9"/>
        <v>0.17281490181799702</v>
      </c>
      <c r="G14" s="21">
        <f t="shared" si="9"/>
        <v>0.18270503410684516</v>
      </c>
      <c r="H14" s="21">
        <f t="shared" si="9"/>
        <v>0.18232158098895984</v>
      </c>
      <c r="I14" s="21">
        <f t="shared" si="9"/>
        <v>0.1899052305169017</v>
      </c>
      <c r="J14" s="21">
        <f t="shared" si="9"/>
        <v>0.17428284012979206</v>
      </c>
      <c r="K14" s="21">
        <f t="shared" si="9"/>
        <v>0.16725213630855842</v>
      </c>
      <c r="L14" s="21">
        <f t="shared" si="9"/>
        <v>0.18169875315187403</v>
      </c>
      <c r="M14" s="21">
        <f t="shared" si="9"/>
        <v>0.15831341033521482</v>
      </c>
      <c r="N14" s="21">
        <f t="shared" si="9"/>
        <v>0.15672574005832823</v>
      </c>
      <c r="O14" s="21">
        <f t="shared" si="9"/>
        <v>0.16086581869184835</v>
      </c>
      <c r="P14" s="21">
        <f t="shared" si="9"/>
        <v>0.16289337002143192</v>
      </c>
      <c r="Q14" s="21">
        <f t="shared" si="9"/>
        <v>0.17589281347282335</v>
      </c>
      <c r="R14" s="21">
        <f t="shared" si="9"/>
        <v>0.15490824710422402</v>
      </c>
      <c r="S14" s="21">
        <f t="shared" si="9"/>
        <v>0.12382088233553672</v>
      </c>
      <c r="T14" s="21">
        <f t="shared" si="9"/>
        <v>0.11250617636481058</v>
      </c>
      <c r="U14" s="21">
        <f t="shared" si="9"/>
        <v>0.11712122071296008</v>
      </c>
      <c r="V14" s="21">
        <f t="shared" si="9"/>
        <v>0.15167489450015958</v>
      </c>
      <c r="W14" s="21">
        <f t="shared" si="9"/>
        <v>0.1343114160006138</v>
      </c>
      <c r="X14" s="21">
        <f t="shared" si="9"/>
        <v>0.10969436261022603</v>
      </c>
      <c r="Y14" s="21">
        <f t="shared" si="9"/>
        <v>0.14408648877911984</v>
      </c>
      <c r="Z14" s="21">
        <f t="shared" si="9"/>
        <v>0.15848625789737877</v>
      </c>
      <c r="AA14" s="21">
        <f t="shared" si="9"/>
        <v>0.14672870930759077</v>
      </c>
      <c r="AB14" s="21">
        <f t="shared" si="9"/>
        <v>0.15719542442426565</v>
      </c>
    </row>
    <row r="15" spans="2:28">
      <c r="B15" s="18" t="s">
        <v>23</v>
      </c>
      <c r="C15" s="18" t="s">
        <v>123</v>
      </c>
      <c r="D15" s="21">
        <f t="shared" ref="D15:AB15" si="10">D88/D51</f>
        <v>0.40325861876478125</v>
      </c>
      <c r="E15" s="21">
        <f t="shared" si="10"/>
        <v>0.38049599192122152</v>
      </c>
      <c r="F15" s="21">
        <f t="shared" si="10"/>
        <v>0.34706733650669463</v>
      </c>
      <c r="G15" s="21">
        <f t="shared" si="10"/>
        <v>0.3374997435133637</v>
      </c>
      <c r="H15" s="21">
        <f t="shared" si="10"/>
        <v>0.34597637745506327</v>
      </c>
      <c r="I15" s="21">
        <f t="shared" si="10"/>
        <v>0.37283348103174718</v>
      </c>
      <c r="J15" s="21">
        <f t="shared" si="10"/>
        <v>0.37435514838515055</v>
      </c>
      <c r="K15" s="21">
        <f t="shared" si="10"/>
        <v>0.37084857776922608</v>
      </c>
      <c r="L15" s="21">
        <f t="shared" si="10"/>
        <v>0.36235999320088103</v>
      </c>
      <c r="M15" s="21">
        <f t="shared" si="10"/>
        <v>0.34388686452404799</v>
      </c>
      <c r="N15" s="21">
        <f t="shared" si="10"/>
        <v>0.35546118942069416</v>
      </c>
      <c r="O15" s="21">
        <f t="shared" si="10"/>
        <v>0.3847080214925882</v>
      </c>
      <c r="P15" s="21">
        <f t="shared" si="10"/>
        <v>0.4057845424636371</v>
      </c>
      <c r="Q15" s="21">
        <f t="shared" si="10"/>
        <v>0.39774336491773504</v>
      </c>
      <c r="R15" s="21">
        <f t="shared" si="10"/>
        <v>0.4414954590927766</v>
      </c>
      <c r="S15" s="21">
        <f t="shared" si="10"/>
        <v>0.41316082259136011</v>
      </c>
      <c r="T15" s="21">
        <f t="shared" si="10"/>
        <v>0.42347671552472443</v>
      </c>
      <c r="U15" s="21">
        <f t="shared" si="10"/>
        <v>0.44419952679812752</v>
      </c>
      <c r="V15" s="21">
        <f t="shared" si="10"/>
        <v>0.45893557559188242</v>
      </c>
      <c r="W15" s="21">
        <f t="shared" si="10"/>
        <v>0.44171251553618235</v>
      </c>
      <c r="X15" s="21">
        <f t="shared" si="10"/>
        <v>0.43311741173746532</v>
      </c>
      <c r="Y15" s="21">
        <f t="shared" si="10"/>
        <v>0.45771834883460177</v>
      </c>
      <c r="Z15" s="21">
        <f t="shared" si="10"/>
        <v>0.47961900600324608</v>
      </c>
      <c r="AA15" s="21">
        <f t="shared" si="10"/>
        <v>0.4623619615666596</v>
      </c>
      <c r="AB15" s="21">
        <f t="shared" si="10"/>
        <v>0.48602219341590808</v>
      </c>
    </row>
    <row r="16" spans="2:28">
      <c r="B16" s="18" t="s">
        <v>24</v>
      </c>
      <c r="C16" s="18" t="s">
        <v>123</v>
      </c>
      <c r="D16" s="21">
        <f t="shared" ref="D16:AB16" si="11">D89/D52</f>
        <v>0.20516968730724178</v>
      </c>
      <c r="E16" s="21">
        <f t="shared" si="11"/>
        <v>0.18525409022216588</v>
      </c>
      <c r="F16" s="21">
        <f t="shared" si="11"/>
        <v>0.15910444643574481</v>
      </c>
      <c r="G16" s="21">
        <f t="shared" si="11"/>
        <v>0.16896209536191015</v>
      </c>
      <c r="H16" s="21">
        <f t="shared" si="11"/>
        <v>0.15977411771715791</v>
      </c>
      <c r="I16" s="21">
        <f t="shared" si="11"/>
        <v>0.15661973389888037</v>
      </c>
      <c r="J16" s="21">
        <f t="shared" si="11"/>
        <v>0.17607001219632398</v>
      </c>
      <c r="K16" s="21">
        <f t="shared" si="11"/>
        <v>0.14580522934016532</v>
      </c>
      <c r="L16" s="21">
        <f t="shared" si="11"/>
        <v>0.16188890240618278</v>
      </c>
      <c r="M16" s="21">
        <f t="shared" si="11"/>
        <v>0.14602268234465662</v>
      </c>
      <c r="N16" s="21">
        <f t="shared" si="11"/>
        <v>0.15627775720730161</v>
      </c>
      <c r="O16" s="21">
        <f t="shared" si="11"/>
        <v>0.26448688245529173</v>
      </c>
      <c r="P16" s="21">
        <f t="shared" si="11"/>
        <v>0.19931018700016123</v>
      </c>
      <c r="Q16" s="21">
        <f t="shared" si="11"/>
        <v>0.2022131706880419</v>
      </c>
      <c r="R16" s="21">
        <f t="shared" si="11"/>
        <v>0.11477117587400999</v>
      </c>
      <c r="S16" s="21">
        <f t="shared" si="11"/>
        <v>0.1116790808890455</v>
      </c>
      <c r="T16" s="21">
        <f t="shared" si="11"/>
        <v>8.39162974177287E-2</v>
      </c>
      <c r="U16" s="21">
        <f t="shared" si="11"/>
        <v>7.436937795529884E-2</v>
      </c>
      <c r="V16" s="21">
        <f t="shared" si="11"/>
        <v>7.7136440735931747E-2</v>
      </c>
      <c r="W16" s="21">
        <f t="shared" si="11"/>
        <v>7.8668189233960628E-2</v>
      </c>
      <c r="X16" s="21">
        <f t="shared" si="11"/>
        <v>6.3190012396206391E-2</v>
      </c>
      <c r="Y16" s="21">
        <f t="shared" si="11"/>
        <v>5.4124417318876933E-2</v>
      </c>
      <c r="Z16" s="21">
        <f t="shared" si="11"/>
        <v>5.199706924044338E-2</v>
      </c>
      <c r="AA16" s="21">
        <f t="shared" si="11"/>
        <v>8.0946150687946472E-2</v>
      </c>
      <c r="AB16" s="21">
        <f t="shared" si="11"/>
        <v>0.14344349392619887</v>
      </c>
    </row>
    <row r="17" spans="2:28">
      <c r="B17" s="18" t="s">
        <v>25</v>
      </c>
      <c r="C17" s="18" t="s">
        <v>123</v>
      </c>
      <c r="D17" s="21">
        <f t="shared" ref="D17:AB17" si="12">D90/D53</f>
        <v>0.48693881466166317</v>
      </c>
      <c r="E17" s="21">
        <f t="shared" si="12"/>
        <v>0.45833862606562553</v>
      </c>
      <c r="F17" s="21">
        <f t="shared" si="12"/>
        <v>0.4129005166022911</v>
      </c>
      <c r="G17" s="21">
        <f t="shared" si="12"/>
        <v>0.40154968727432544</v>
      </c>
      <c r="H17" s="21">
        <f t="shared" si="12"/>
        <v>0.39668022371961537</v>
      </c>
      <c r="I17" s="21">
        <f t="shared" si="12"/>
        <v>0.40273675829393529</v>
      </c>
      <c r="J17" s="21">
        <f t="shared" si="12"/>
        <v>0.67478279319946022</v>
      </c>
      <c r="K17" s="21">
        <f t="shared" si="12"/>
        <v>0.41975630830965244</v>
      </c>
      <c r="L17" s="21">
        <f t="shared" si="12"/>
        <v>0.40187773033954027</v>
      </c>
      <c r="M17" s="21">
        <f t="shared" si="12"/>
        <v>0.57634318921243022</v>
      </c>
      <c r="N17" s="21">
        <f t="shared" si="12"/>
        <v>0.70679015058136629</v>
      </c>
      <c r="O17" s="21">
        <f t="shared" si="12"/>
        <v>0.80778578903466403</v>
      </c>
      <c r="P17" s="21">
        <f t="shared" si="12"/>
        <v>0.76838372638150287</v>
      </c>
      <c r="Q17" s="21">
        <f t="shared" si="12"/>
        <v>0.70816426049258774</v>
      </c>
      <c r="R17" s="21">
        <f t="shared" si="12"/>
        <v>0.65951224237584249</v>
      </c>
      <c r="S17" s="21">
        <f t="shared" si="12"/>
        <v>0.57697388243591052</v>
      </c>
      <c r="T17" s="21">
        <f t="shared" si="12"/>
        <v>0.53621273535800595</v>
      </c>
      <c r="U17" s="21">
        <f t="shared" si="12"/>
        <v>0.56117555338598124</v>
      </c>
      <c r="V17" s="21">
        <f t="shared" si="12"/>
        <v>0.57591407272680606</v>
      </c>
      <c r="W17" s="21">
        <f t="shared" si="12"/>
        <v>0.56198099634075405</v>
      </c>
      <c r="X17" s="21">
        <f t="shared" si="12"/>
        <v>0.494858072693111</v>
      </c>
      <c r="Y17" s="21">
        <f t="shared" si="12"/>
        <v>0.57736892893673564</v>
      </c>
      <c r="Z17" s="21">
        <f t="shared" si="12"/>
        <v>0.6289334655731591</v>
      </c>
      <c r="AA17" s="21">
        <f t="shared" si="12"/>
        <v>0.65059068085274629</v>
      </c>
      <c r="AB17" s="21">
        <f t="shared" si="12"/>
        <v>0.65517926107650093</v>
      </c>
    </row>
    <row r="18" spans="2:28">
      <c r="B18" s="18" t="s">
        <v>26</v>
      </c>
      <c r="C18" s="18" t="s">
        <v>123</v>
      </c>
      <c r="D18" s="21">
        <f t="shared" ref="D18:AB18" si="13">D91/D54</f>
        <v>0.39426371645122077</v>
      </c>
      <c r="E18" s="21">
        <f t="shared" si="13"/>
        <v>0.38750804001020261</v>
      </c>
      <c r="F18" s="21">
        <f t="shared" si="13"/>
        <v>0.3828843368439665</v>
      </c>
      <c r="G18" s="21">
        <f t="shared" si="13"/>
        <v>0.40317541037009336</v>
      </c>
      <c r="H18" s="21">
        <f t="shared" si="13"/>
        <v>0.36750258827884874</v>
      </c>
      <c r="I18" s="21">
        <f t="shared" si="13"/>
        <v>0.37535846652319099</v>
      </c>
      <c r="J18" s="21">
        <f t="shared" si="13"/>
        <v>0.39743616627705436</v>
      </c>
      <c r="K18" s="21">
        <f t="shared" si="13"/>
        <v>0.41052454918993503</v>
      </c>
      <c r="L18" s="21">
        <f t="shared" si="13"/>
        <v>0.42980192886441376</v>
      </c>
      <c r="M18" s="21">
        <f t="shared" si="13"/>
        <v>0.44794879900520068</v>
      </c>
      <c r="N18" s="21">
        <f t="shared" si="13"/>
        <v>0.47400521523609102</v>
      </c>
      <c r="O18" s="21">
        <f t="shared" si="13"/>
        <v>0.47492833862263067</v>
      </c>
      <c r="P18" s="21">
        <f t="shared" si="13"/>
        <v>0.4781113546932706</v>
      </c>
      <c r="Q18" s="21">
        <f t="shared" si="13"/>
        <v>0.46940839869849177</v>
      </c>
      <c r="R18" s="21">
        <f t="shared" si="13"/>
        <v>0.45087867335773729</v>
      </c>
      <c r="S18" s="21">
        <f t="shared" si="13"/>
        <v>0.44960207413409142</v>
      </c>
      <c r="T18" s="21">
        <f t="shared" si="13"/>
        <v>0.4427370920496988</v>
      </c>
      <c r="U18" s="21">
        <f t="shared" si="13"/>
        <v>0.43671388033805997</v>
      </c>
      <c r="V18" s="21">
        <f t="shared" si="13"/>
        <v>0.45623360302877852</v>
      </c>
      <c r="W18" s="21">
        <f t="shared" si="13"/>
        <v>0.42682516362419959</v>
      </c>
      <c r="X18" s="21">
        <f t="shared" si="13"/>
        <v>0.40387992039205795</v>
      </c>
      <c r="Y18" s="21">
        <f t="shared" si="13"/>
        <v>0.40805423880974545</v>
      </c>
      <c r="Z18" s="21">
        <f t="shared" si="13"/>
        <v>0.40214228263648111</v>
      </c>
      <c r="AA18" s="21">
        <f t="shared" si="13"/>
        <v>0.38716933043679636</v>
      </c>
      <c r="AB18" s="21">
        <f t="shared" si="13"/>
        <v>0.37196778761992516</v>
      </c>
    </row>
    <row r="19" spans="2:28">
      <c r="B19" s="18" t="s">
        <v>27</v>
      </c>
      <c r="C19" s="18" t="s">
        <v>123</v>
      </c>
      <c r="D19" s="21">
        <f t="shared" ref="D19:AB19" si="14">D92/D55</f>
        <v>0.38582012733446197</v>
      </c>
      <c r="E19" s="21">
        <f t="shared" si="14"/>
        <v>0.40314180085268125</v>
      </c>
      <c r="F19" s="21">
        <f t="shared" si="14"/>
        <v>0.39162042399758823</v>
      </c>
      <c r="G19" s="21">
        <f t="shared" si="14"/>
        <v>0.42167338230019336</v>
      </c>
      <c r="H19" s="21">
        <f t="shared" si="14"/>
        <v>0.46741642113343812</v>
      </c>
      <c r="I19" s="21">
        <f t="shared" si="14"/>
        <v>0.53143521943970817</v>
      </c>
      <c r="J19" s="21">
        <f t="shared" si="14"/>
        <v>0.57013057004419188</v>
      </c>
      <c r="K19" s="21">
        <f t="shared" si="14"/>
        <v>0.58231852811911344</v>
      </c>
      <c r="L19" s="21">
        <f t="shared" si="14"/>
        <v>0.59289550165195459</v>
      </c>
      <c r="M19" s="21">
        <f t="shared" si="14"/>
        <v>0.51030582641797095</v>
      </c>
      <c r="N19" s="21">
        <f t="shared" si="14"/>
        <v>0.49619823240717148</v>
      </c>
      <c r="O19" s="21">
        <f t="shared" si="14"/>
        <v>0.49519748806115338</v>
      </c>
      <c r="P19" s="21">
        <f t="shared" si="14"/>
        <v>0.50436649574357295</v>
      </c>
      <c r="Q19" s="21">
        <f t="shared" si="14"/>
        <v>0.51284601765092241</v>
      </c>
      <c r="R19" s="21">
        <f t="shared" si="14"/>
        <v>0.52576246154911987</v>
      </c>
      <c r="S19" s="21">
        <f t="shared" si="14"/>
        <v>0.5321306776928233</v>
      </c>
      <c r="T19" s="21">
        <f t="shared" si="14"/>
        <v>0.53264243418516455</v>
      </c>
      <c r="U19" s="21">
        <f t="shared" si="14"/>
        <v>0.53826877228857195</v>
      </c>
      <c r="V19" s="21">
        <f t="shared" si="14"/>
        <v>0.54711605994795753</v>
      </c>
      <c r="W19" s="21">
        <f t="shared" si="14"/>
        <v>0.54974951444836939</v>
      </c>
      <c r="X19" s="21">
        <f t="shared" si="14"/>
        <v>0.55058383213373518</v>
      </c>
      <c r="Y19" s="21">
        <f t="shared" si="14"/>
        <v>0.56941568857233515</v>
      </c>
      <c r="Z19" s="21">
        <f t="shared" si="14"/>
        <v>0.56280729845636945</v>
      </c>
      <c r="AA19" s="21">
        <f t="shared" si="14"/>
        <v>0.58164584227729399</v>
      </c>
      <c r="AB19" s="21">
        <f t="shared" si="14"/>
        <v>0.59686989334716123</v>
      </c>
    </row>
    <row r="20" spans="2:28">
      <c r="B20" s="18" t="s">
        <v>46</v>
      </c>
      <c r="C20" s="18" t="s">
        <v>123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>
        <f t="shared" ref="N20:AB20" si="15">N93/N56</f>
        <v>0.4527999172610252</v>
      </c>
      <c r="O20" s="21">
        <f t="shared" si="15"/>
        <v>0.44453237117951416</v>
      </c>
      <c r="P20" s="21">
        <f t="shared" si="15"/>
        <v>0.44890400329754698</v>
      </c>
      <c r="Q20" s="21">
        <f t="shared" si="15"/>
        <v>0.44860599915845872</v>
      </c>
      <c r="R20" s="21">
        <f t="shared" si="15"/>
        <v>0.4529405974526744</v>
      </c>
      <c r="S20" s="21">
        <f t="shared" si="15"/>
        <v>0.4435987230583614</v>
      </c>
      <c r="T20" s="21">
        <f t="shared" si="15"/>
        <v>0.44575421773273427</v>
      </c>
      <c r="U20" s="21">
        <f t="shared" si="15"/>
        <v>0.4351815441773586</v>
      </c>
      <c r="V20" s="21">
        <f t="shared" si="15"/>
        <v>0.44071447874471109</v>
      </c>
      <c r="W20" s="21">
        <f t="shared" si="15"/>
        <v>0.47312354131417345</v>
      </c>
      <c r="X20" s="21">
        <f t="shared" si="15"/>
        <v>0.50193703421641978</v>
      </c>
      <c r="Y20" s="21">
        <f t="shared" si="15"/>
        <v>0.5816622483637266</v>
      </c>
      <c r="Z20" s="21">
        <f t="shared" si="15"/>
        <v>0.58649834427296466</v>
      </c>
      <c r="AA20" s="21">
        <f t="shared" si="15"/>
        <v>0.57332491592616963</v>
      </c>
      <c r="AB20" s="21">
        <f t="shared" si="15"/>
        <v>0.5571626064939883</v>
      </c>
    </row>
    <row r="21" spans="2:28">
      <c r="B21" s="18" t="s">
        <v>28</v>
      </c>
      <c r="C21" s="18" t="s">
        <v>123</v>
      </c>
      <c r="D21" s="21">
        <f t="shared" ref="D21:M21" si="16">D94/D57</f>
        <v>0.24576445481954959</v>
      </c>
      <c r="E21" s="21">
        <f t="shared" si="16"/>
        <v>0.28153057192018194</v>
      </c>
      <c r="F21" s="21">
        <f t="shared" si="16"/>
        <v>0.2413650249324982</v>
      </c>
      <c r="G21" s="21">
        <f t="shared" si="16"/>
        <v>0.23802514668869276</v>
      </c>
      <c r="H21" s="21">
        <f t="shared" si="16"/>
        <v>0.50005072313600563</v>
      </c>
      <c r="I21" s="21">
        <f t="shared" si="16"/>
        <v>0.557830897612969</v>
      </c>
      <c r="J21" s="21">
        <f t="shared" si="16"/>
        <v>0.55675632689677157</v>
      </c>
      <c r="K21" s="21">
        <f t="shared" si="16"/>
        <v>0.52819559800593441</v>
      </c>
      <c r="L21" s="21">
        <f t="shared" si="16"/>
        <v>0.50282291531386314</v>
      </c>
      <c r="M21" s="21">
        <f t="shared" si="16"/>
        <v>0.49410489301477972</v>
      </c>
      <c r="N21" s="21">
        <f t="shared" ref="N21:AB21" si="17">N94/N57</f>
        <v>0.46985241513294329</v>
      </c>
      <c r="O21" s="21">
        <f t="shared" si="17"/>
        <v>0.63715253013633255</v>
      </c>
      <c r="P21" s="21">
        <f t="shared" si="17"/>
        <v>0.52996710707219985</v>
      </c>
      <c r="Q21" s="21">
        <f t="shared" si="17"/>
        <v>0.55442424249582678</v>
      </c>
      <c r="R21" s="21">
        <f t="shared" si="17"/>
        <v>0.64045994660543459</v>
      </c>
      <c r="S21" s="21">
        <f t="shared" si="17"/>
        <v>0.4747308563113507</v>
      </c>
      <c r="T21" s="21">
        <f t="shared" si="17"/>
        <v>0.38631958888361856</v>
      </c>
      <c r="U21" s="21">
        <f t="shared" si="17"/>
        <v>0.47976760796260748</v>
      </c>
      <c r="V21" s="21">
        <f t="shared" si="17"/>
        <v>0.45943653215542385</v>
      </c>
      <c r="W21" s="21">
        <f t="shared" si="17"/>
        <v>0.35761597020439789</v>
      </c>
      <c r="X21" s="21">
        <f t="shared" si="17"/>
        <v>0.3236818460592718</v>
      </c>
      <c r="Y21" s="21">
        <f t="shared" si="17"/>
        <v>0.483880817077048</v>
      </c>
      <c r="Z21" s="21">
        <f t="shared" si="17"/>
        <v>0.4430062735507389</v>
      </c>
      <c r="AA21" s="21">
        <f t="shared" si="17"/>
        <v>0.31326198436729058</v>
      </c>
      <c r="AB21" s="21">
        <f t="shared" si="17"/>
        <v>0.24169881814490246</v>
      </c>
    </row>
    <row r="22" spans="2:28">
      <c r="B22" s="18" t="s">
        <v>29</v>
      </c>
      <c r="C22" s="18" t="s">
        <v>123</v>
      </c>
      <c r="D22" s="21"/>
      <c r="E22" s="21"/>
      <c r="F22" s="21"/>
      <c r="G22" s="21">
        <f t="shared" ref="G22:M30" si="18">G95/G58</f>
        <v>0.64534568478809151</v>
      </c>
      <c r="H22" s="21">
        <f t="shared" si="18"/>
        <v>0.89525310716033102</v>
      </c>
      <c r="I22" s="21">
        <f t="shared" si="18"/>
        <v>1.0449890020309771</v>
      </c>
      <c r="J22" s="21">
        <f t="shared" si="18"/>
        <v>0.99891126970314759</v>
      </c>
      <c r="K22" s="21">
        <f t="shared" si="18"/>
        <v>1.0881081927538021</v>
      </c>
      <c r="L22" s="21">
        <f t="shared" si="18"/>
        <v>1.2032721864739953</v>
      </c>
      <c r="M22" s="21">
        <f t="shared" si="18"/>
        <v>1.251605355208494</v>
      </c>
      <c r="N22" s="21">
        <f t="shared" ref="N22:AB22" si="19">N95/N58</f>
        <v>1.3278403256516569</v>
      </c>
      <c r="O22" s="21">
        <f t="shared" si="19"/>
        <v>1.8785605370566418</v>
      </c>
      <c r="P22" s="21">
        <f t="shared" si="19"/>
        <v>1.4839587109663184</v>
      </c>
      <c r="Q22" s="21">
        <f t="shared" si="19"/>
        <v>1.5567717918501043</v>
      </c>
      <c r="R22" s="21">
        <f t="shared" si="19"/>
        <v>1.4643596631053568</v>
      </c>
      <c r="S22" s="21">
        <f t="shared" si="19"/>
        <v>1.4305431159534105</v>
      </c>
      <c r="T22" s="21">
        <f t="shared" si="19"/>
        <v>1.4146101850810879</v>
      </c>
      <c r="U22" s="21">
        <f t="shared" si="19"/>
        <v>1.3834060634609571</v>
      </c>
      <c r="V22" s="21">
        <f t="shared" si="19"/>
        <v>1.369269268028479</v>
      </c>
      <c r="W22" s="21">
        <f t="shared" si="19"/>
        <v>1.372422723682327</v>
      </c>
      <c r="X22" s="21">
        <f t="shared" si="19"/>
        <v>1.3985692627008719</v>
      </c>
      <c r="Y22" s="21">
        <f t="shared" si="19"/>
        <v>1.4616825417720787</v>
      </c>
      <c r="Z22" s="21">
        <f t="shared" si="19"/>
        <v>1.5511673919754505</v>
      </c>
      <c r="AA22" s="21">
        <f t="shared" si="19"/>
        <v>1.4366837504468197</v>
      </c>
      <c r="AB22" s="21">
        <f t="shared" si="19"/>
        <v>1.4184589843138775</v>
      </c>
    </row>
    <row r="23" spans="2:28">
      <c r="B23" s="18" t="s">
        <v>7</v>
      </c>
      <c r="C23" s="18" t="s">
        <v>123</v>
      </c>
      <c r="D23" s="21">
        <f t="shared" ref="D23:F28" si="20">D96/D59</f>
        <v>0.42927957595321553</v>
      </c>
      <c r="E23" s="21">
        <f t="shared" si="20"/>
        <v>0.40022736290805089</v>
      </c>
      <c r="F23" s="21">
        <f t="shared" si="20"/>
        <v>0.43040180274785067</v>
      </c>
      <c r="G23" s="21">
        <f t="shared" si="18"/>
        <v>0.43129791533800438</v>
      </c>
      <c r="H23" s="21">
        <f t="shared" si="18"/>
        <v>0.3234849346042995</v>
      </c>
      <c r="I23" s="21">
        <f t="shared" si="18"/>
        <v>0.3418689052019625</v>
      </c>
      <c r="J23" s="21">
        <f t="shared" si="18"/>
        <v>0.34813772391192849</v>
      </c>
      <c r="K23" s="21">
        <f t="shared" si="18"/>
        <v>0.33995117338999814</v>
      </c>
      <c r="L23" s="21">
        <f t="shared" si="18"/>
        <v>0.48048737727125779</v>
      </c>
      <c r="M23" s="21">
        <f t="shared" si="18"/>
        <v>0.47582718784715455</v>
      </c>
      <c r="N23" s="21">
        <f t="shared" ref="N23:AB23" si="21">N96/N59</f>
        <v>0.38065270391888195</v>
      </c>
      <c r="O23" s="21">
        <f t="shared" si="21"/>
        <v>0.4105996828359087</v>
      </c>
      <c r="P23" s="21">
        <f t="shared" si="21"/>
        <v>0.52096005126611167</v>
      </c>
      <c r="Q23" s="21">
        <f t="shared" si="21"/>
        <v>0.47920057493020346</v>
      </c>
      <c r="R23" s="21">
        <f t="shared" si="21"/>
        <v>0.47952306939038353</v>
      </c>
      <c r="S23" s="21">
        <f t="shared" si="21"/>
        <v>0.44029883639526118</v>
      </c>
      <c r="T23" s="21">
        <f t="shared" si="21"/>
        <v>0.42300426391547741</v>
      </c>
      <c r="U23" s="21">
        <f t="shared" si="21"/>
        <v>0.43306882465304114</v>
      </c>
      <c r="V23" s="21">
        <f t="shared" si="21"/>
        <v>0.47024361481455984</v>
      </c>
      <c r="W23" s="21">
        <f t="shared" si="21"/>
        <v>0.46488782013076141</v>
      </c>
      <c r="X23" s="21">
        <f t="shared" si="21"/>
        <v>0.44568398639355444</v>
      </c>
      <c r="Y23" s="21">
        <f t="shared" si="21"/>
        <v>0.49681824052295864</v>
      </c>
      <c r="Z23" s="21">
        <f t="shared" si="21"/>
        <v>0.49728834254705973</v>
      </c>
      <c r="AA23" s="21">
        <f t="shared" si="21"/>
        <v>0.50507462122903191</v>
      </c>
      <c r="AB23" s="21">
        <f t="shared" si="21"/>
        <v>0.5319343069258069</v>
      </c>
    </row>
    <row r="24" spans="2:28">
      <c r="B24" s="18" t="s">
        <v>13</v>
      </c>
      <c r="C24" s="18" t="s">
        <v>123</v>
      </c>
      <c r="D24" s="21">
        <f t="shared" si="20"/>
        <v>0.44976656784808983</v>
      </c>
      <c r="E24" s="21">
        <f t="shared" si="20"/>
        <v>0.61154850597097188</v>
      </c>
      <c r="F24" s="21">
        <f t="shared" si="20"/>
        <v>0.61771438262676837</v>
      </c>
      <c r="G24" s="21">
        <f t="shared" si="18"/>
        <v>0.59696848346972742</v>
      </c>
      <c r="H24" s="21">
        <f t="shared" si="18"/>
        <v>0.56576606582861311</v>
      </c>
      <c r="I24" s="21">
        <f t="shared" si="18"/>
        <v>0.54641944754506355</v>
      </c>
      <c r="J24" s="21">
        <f t="shared" si="18"/>
        <v>0.56957142087278045</v>
      </c>
      <c r="K24" s="21">
        <f t="shared" si="18"/>
        <v>0.57745868028267888</v>
      </c>
      <c r="L24" s="21">
        <f t="shared" si="18"/>
        <v>0.59538054560541376</v>
      </c>
      <c r="M24" s="21">
        <f t="shared" si="18"/>
        <v>0.58260210647172916</v>
      </c>
      <c r="N24" s="21">
        <f t="shared" ref="N24:AB24" si="22">N97/N60</f>
        <v>0.58446261638859098</v>
      </c>
      <c r="O24" s="21">
        <f t="shared" si="22"/>
        <v>0.58631063422840912</v>
      </c>
      <c r="P24" s="21">
        <f t="shared" si="22"/>
        <v>0.66074113862674588</v>
      </c>
      <c r="Q24" s="21">
        <f t="shared" si="22"/>
        <v>0.68389710391287306</v>
      </c>
      <c r="R24" s="21">
        <f t="shared" si="22"/>
        <v>0.61814985946324685</v>
      </c>
      <c r="S24" s="21">
        <f t="shared" si="22"/>
        <v>0.62117427517869661</v>
      </c>
      <c r="T24" s="21">
        <f t="shared" si="22"/>
        <v>0.61221274892555233</v>
      </c>
      <c r="U24" s="21">
        <f t="shared" si="22"/>
        <v>0.5789843731481864</v>
      </c>
      <c r="V24" s="21">
        <f t="shared" si="22"/>
        <v>0.52368774232857207</v>
      </c>
      <c r="W24" s="21">
        <f t="shared" si="22"/>
        <v>0.5013890969313286</v>
      </c>
      <c r="X24" s="21">
        <f t="shared" si="22"/>
        <v>0.37852216637817954</v>
      </c>
      <c r="Y24" s="21">
        <f t="shared" si="22"/>
        <v>0.39511295299939331</v>
      </c>
      <c r="Z24" s="21">
        <f t="shared" si="22"/>
        <v>0.37272813384913706</v>
      </c>
      <c r="AA24" s="21">
        <f t="shared" si="22"/>
        <v>0.31310575374452443</v>
      </c>
      <c r="AB24" s="21">
        <f t="shared" si="22"/>
        <v>0.15723409207080022</v>
      </c>
    </row>
    <row r="25" spans="2:28">
      <c r="B25" s="18" t="s">
        <v>30</v>
      </c>
      <c r="C25" s="18" t="s">
        <v>123</v>
      </c>
      <c r="D25" s="21">
        <f t="shared" si="20"/>
        <v>0.50842369600937243</v>
      </c>
      <c r="E25" s="21">
        <f t="shared" si="20"/>
        <v>0.38778617876895655</v>
      </c>
      <c r="F25" s="21">
        <f t="shared" si="20"/>
        <v>0.41613068041000018</v>
      </c>
      <c r="G25" s="21">
        <f t="shared" si="18"/>
        <v>0.38325338210917864</v>
      </c>
      <c r="H25" s="21">
        <f t="shared" si="18"/>
        <v>0.43719309489808739</v>
      </c>
      <c r="I25" s="21">
        <f t="shared" si="18"/>
        <v>0.44797299262853679</v>
      </c>
      <c r="J25" s="21">
        <f t="shared" si="18"/>
        <v>0.46643479065413573</v>
      </c>
      <c r="K25" s="21">
        <f t="shared" si="18"/>
        <v>0.3688758147783458</v>
      </c>
      <c r="L25" s="21">
        <f t="shared" si="18"/>
        <v>0.42805156193523014</v>
      </c>
      <c r="M25" s="21">
        <f t="shared" si="18"/>
        <v>0.51202590492519418</v>
      </c>
      <c r="N25" s="21">
        <f t="shared" ref="N25:AB25" si="23">N98/N61</f>
        <v>0.5323869878488503</v>
      </c>
      <c r="O25" s="21">
        <f t="shared" si="23"/>
        <v>0.72621003180573451</v>
      </c>
      <c r="P25" s="21">
        <f t="shared" si="23"/>
        <v>0.7443155841966429</v>
      </c>
      <c r="Q25" s="21">
        <f t="shared" si="23"/>
        <v>0.75829610904835876</v>
      </c>
      <c r="R25" s="21">
        <f t="shared" si="23"/>
        <v>0.84773093936424782</v>
      </c>
      <c r="S25" s="21">
        <f t="shared" si="23"/>
        <v>1.0359022561250932</v>
      </c>
      <c r="T25" s="21">
        <f t="shared" si="23"/>
        <v>1.1095213876809042</v>
      </c>
      <c r="U25" s="21">
        <f t="shared" si="23"/>
        <v>1.1152173054069108</v>
      </c>
      <c r="V25" s="21">
        <f t="shared" si="23"/>
        <v>0.80089745423251002</v>
      </c>
      <c r="W25" s="21">
        <f t="shared" si="23"/>
        <v>1.0012215778346256</v>
      </c>
      <c r="X25" s="21">
        <f t="shared" si="23"/>
        <v>1.218610077415434</v>
      </c>
      <c r="Y25" s="21">
        <f t="shared" si="23"/>
        <v>2.0617645721201363</v>
      </c>
      <c r="Z25" s="21">
        <f t="shared" si="23"/>
        <v>2.8125854399456895</v>
      </c>
      <c r="AA25" s="21">
        <f t="shared" si="23"/>
        <v>2.6345903861830773</v>
      </c>
      <c r="AB25" s="21">
        <f t="shared" si="23"/>
        <v>2.5370906493774186</v>
      </c>
    </row>
    <row r="26" spans="2:28">
      <c r="B26" s="18" t="s">
        <v>31</v>
      </c>
      <c r="C26" s="18" t="s">
        <v>123</v>
      </c>
      <c r="D26" s="21">
        <f t="shared" si="20"/>
        <v>0.54487113662748632</v>
      </c>
      <c r="E26" s="21">
        <f t="shared" si="20"/>
        <v>0.51174560628021504</v>
      </c>
      <c r="F26" s="21">
        <f t="shared" si="20"/>
        <v>0.50970572315600859</v>
      </c>
      <c r="G26" s="21">
        <f t="shared" si="18"/>
        <v>0.49488789202653316</v>
      </c>
      <c r="H26" s="21">
        <f t="shared" si="18"/>
        <v>0.51041465571623768</v>
      </c>
      <c r="I26" s="21">
        <f t="shared" si="18"/>
        <v>0.56322055618352718</v>
      </c>
      <c r="J26" s="21">
        <f t="shared" si="18"/>
        <v>0.57686098608508152</v>
      </c>
      <c r="K26" s="21">
        <f t="shared" si="18"/>
        <v>0.57796961480150155</v>
      </c>
      <c r="L26" s="21">
        <f t="shared" si="18"/>
        <v>0.58468386063353261</v>
      </c>
      <c r="M26" s="21">
        <f t="shared" si="18"/>
        <v>0.54214522169751023</v>
      </c>
      <c r="N26" s="21">
        <f t="shared" ref="N26:AB26" si="24">N99/N62</f>
        <v>0.5159622870799353</v>
      </c>
      <c r="O26" s="21">
        <f t="shared" si="24"/>
        <v>0.4397335069319106</v>
      </c>
      <c r="P26" s="21">
        <f t="shared" si="24"/>
        <v>0.46430868415011595</v>
      </c>
      <c r="Q26" s="21">
        <f t="shared" si="24"/>
        <v>0.4051574169392706</v>
      </c>
      <c r="R26" s="21">
        <f t="shared" si="24"/>
        <v>0.34723980714888558</v>
      </c>
      <c r="S26" s="21">
        <f t="shared" si="24"/>
        <v>0.2851957273513287</v>
      </c>
      <c r="T26" s="21">
        <f t="shared" si="24"/>
        <v>0.28309169667743622</v>
      </c>
      <c r="U26" s="21">
        <f t="shared" si="24"/>
        <v>0.28631538642543553</v>
      </c>
      <c r="V26" s="21">
        <f t="shared" si="24"/>
        <v>0.3300741010235298</v>
      </c>
      <c r="W26" s="21">
        <f t="shared" si="24"/>
        <v>0.36698697888698628</v>
      </c>
      <c r="X26" s="21">
        <f t="shared" si="24"/>
        <v>0.36044761318481594</v>
      </c>
      <c r="Y26" s="21">
        <f t="shared" si="24"/>
        <v>0.37889834445867837</v>
      </c>
      <c r="Z26" s="21">
        <f t="shared" si="24"/>
        <v>0.43304490645570876</v>
      </c>
      <c r="AA26" s="21">
        <f t="shared" si="24"/>
        <v>0.41836484903067872</v>
      </c>
      <c r="AB26" s="21">
        <f t="shared" si="24"/>
        <v>0.41265728497627158</v>
      </c>
    </row>
    <row r="27" spans="2:28">
      <c r="B27" s="18" t="s">
        <v>32</v>
      </c>
      <c r="C27" s="18" t="s">
        <v>123</v>
      </c>
      <c r="D27" s="21">
        <f t="shared" si="20"/>
        <v>0.30847380145151626</v>
      </c>
      <c r="E27" s="21">
        <f t="shared" si="20"/>
        <v>0.34898537760995452</v>
      </c>
      <c r="F27" s="21">
        <f t="shared" si="20"/>
        <v>0.36683717449698788</v>
      </c>
      <c r="G27" s="21">
        <f t="shared" si="18"/>
        <v>0.35037946042582097</v>
      </c>
      <c r="H27" s="21">
        <f t="shared" si="18"/>
        <v>0.39949558206168695</v>
      </c>
      <c r="I27" s="21">
        <f t="shared" si="18"/>
        <v>0.44576877080012861</v>
      </c>
      <c r="J27" s="21">
        <f t="shared" si="18"/>
        <v>0.47438564113482085</v>
      </c>
      <c r="K27" s="21">
        <f t="shared" si="18"/>
        <v>0.49695799043718047</v>
      </c>
      <c r="L27" s="21">
        <f t="shared" si="18"/>
        <v>0.50262299163230395</v>
      </c>
      <c r="M27" s="21">
        <f t="shared" si="18"/>
        <v>0.4842985187599782</v>
      </c>
      <c r="N27" s="21">
        <f t="shared" ref="N27:AB27" si="25">N100/N63</f>
        <v>0.48992754061388877</v>
      </c>
      <c r="O27" s="21">
        <f t="shared" si="25"/>
        <v>0.55293804622347975</v>
      </c>
      <c r="P27" s="21">
        <f t="shared" si="25"/>
        <v>0.6208977372069594</v>
      </c>
      <c r="Q27" s="21">
        <f t="shared" si="25"/>
        <v>0.55313645077946627</v>
      </c>
      <c r="R27" s="21">
        <f t="shared" si="25"/>
        <v>0.62522756655904155</v>
      </c>
      <c r="S27" s="21">
        <f t="shared" si="25"/>
        <v>0.74443861033896719</v>
      </c>
      <c r="T27" s="21">
        <f t="shared" si="25"/>
        <v>0.67092948444291478</v>
      </c>
      <c r="U27" s="21">
        <f t="shared" si="25"/>
        <v>0.65893630954707916</v>
      </c>
      <c r="V27" s="21">
        <f t="shared" si="25"/>
        <v>0.6695027391794226</v>
      </c>
      <c r="W27" s="21">
        <f t="shared" si="25"/>
        <v>0.65603906290115277</v>
      </c>
      <c r="X27" s="21">
        <f t="shared" si="25"/>
        <v>0.55092992147067565</v>
      </c>
      <c r="Y27" s="21">
        <f t="shared" si="25"/>
        <v>0.52644693531394904</v>
      </c>
      <c r="Z27" s="21">
        <f t="shared" si="25"/>
        <v>0.49773778146700842</v>
      </c>
      <c r="AA27" s="21">
        <f t="shared" si="25"/>
        <v>0.50773100998768583</v>
      </c>
      <c r="AB27" s="21">
        <f t="shared" si="25"/>
        <v>0.50416647895724742</v>
      </c>
    </row>
    <row r="28" spans="2:28">
      <c r="B28" s="18" t="s">
        <v>14</v>
      </c>
      <c r="C28" s="18" t="s">
        <v>123</v>
      </c>
      <c r="D28" s="21">
        <f t="shared" si="20"/>
        <v>5.6655696685747811E-2</v>
      </c>
      <c r="E28" s="21">
        <f t="shared" si="20"/>
        <v>4.8959749628401085E-2</v>
      </c>
      <c r="F28" s="21">
        <f t="shared" si="20"/>
        <v>4.9427394982882678E-2</v>
      </c>
      <c r="G28" s="21">
        <f t="shared" si="18"/>
        <v>5.3661003907698838E-2</v>
      </c>
      <c r="H28" s="21">
        <f t="shared" si="18"/>
        <v>7.0087134319112662E-2</v>
      </c>
      <c r="I28" s="21">
        <f t="shared" si="18"/>
        <v>5.8054735592994629E-2</v>
      </c>
      <c r="J28" s="21">
        <f t="shared" si="18"/>
        <v>8.5868165816415931E-2</v>
      </c>
      <c r="K28" s="21">
        <f t="shared" si="18"/>
        <v>7.6646992543407053E-2</v>
      </c>
      <c r="L28" s="21">
        <f t="shared" si="18"/>
        <v>9.094273305817209E-2</v>
      </c>
      <c r="M28" s="21">
        <f t="shared" si="18"/>
        <v>7.5950221090085174E-2</v>
      </c>
      <c r="N28" s="21">
        <f t="shared" ref="N28:AB28" si="26">N101/N64</f>
        <v>8.7904030868487734E-2</v>
      </c>
      <c r="O28" s="21">
        <f t="shared" si="26"/>
        <v>9.5726163270574149E-2</v>
      </c>
      <c r="P28" s="21">
        <f t="shared" si="26"/>
        <v>8.5932714675628047E-2</v>
      </c>
      <c r="Q28" s="21">
        <f t="shared" si="26"/>
        <v>4.6549710205410703E-2</v>
      </c>
      <c r="R28" s="21">
        <f t="shared" si="26"/>
        <v>9.2188738832290312E-2</v>
      </c>
      <c r="S28" s="21">
        <f t="shared" si="26"/>
        <v>6.8271480190783065E-2</v>
      </c>
      <c r="T28" s="21">
        <f t="shared" si="26"/>
        <v>6.5453204272442334E-2</v>
      </c>
      <c r="U28" s="21">
        <f t="shared" si="26"/>
        <v>4.0018201900442425E-2</v>
      </c>
      <c r="V28" s="21">
        <f t="shared" si="26"/>
        <v>4.0365062364847083E-2</v>
      </c>
      <c r="W28" s="21">
        <f t="shared" si="26"/>
        <v>3.3248117911703325E-2</v>
      </c>
      <c r="X28" s="21">
        <f t="shared" si="26"/>
        <v>2.0275897472925061E-2</v>
      </c>
      <c r="Y28" s="21">
        <f t="shared" si="26"/>
        <v>2.6947269960484573E-2</v>
      </c>
      <c r="Z28" s="21">
        <f t="shared" si="26"/>
        <v>7.3273204476149489E-2</v>
      </c>
      <c r="AA28" s="21">
        <f t="shared" si="26"/>
        <v>0.20341320432940296</v>
      </c>
      <c r="AB28" s="21">
        <f t="shared" si="26"/>
        <v>0.42008967991242613</v>
      </c>
    </row>
    <row r="29" spans="2:28">
      <c r="B29" s="18" t="s">
        <v>33</v>
      </c>
      <c r="C29" s="18" t="s">
        <v>123</v>
      </c>
      <c r="D29" s="21"/>
      <c r="E29" s="21"/>
      <c r="F29" s="21">
        <f>F102/F65</f>
        <v>0.98041493111274869</v>
      </c>
      <c r="G29" s="21">
        <f t="shared" si="18"/>
        <v>0.84208442202396794</v>
      </c>
      <c r="H29" s="21">
        <f t="shared" si="18"/>
        <v>0.74016999043354026</v>
      </c>
      <c r="I29" s="21">
        <f t="shared" si="18"/>
        <v>0.83230985793935797</v>
      </c>
      <c r="J29" s="21">
        <f t="shared" si="18"/>
        <v>0.93844173588093749</v>
      </c>
      <c r="K29" s="21">
        <f t="shared" si="18"/>
        <v>0.89035394685209734</v>
      </c>
      <c r="L29" s="21">
        <f t="shared" si="18"/>
        <v>0.79236112438174955</v>
      </c>
      <c r="M29" s="21">
        <f t="shared" si="18"/>
        <v>0.53064989702217069</v>
      </c>
      <c r="N29" s="21">
        <f t="shared" ref="N29:AB29" si="27">N102/N65</f>
        <v>0.42875385560574791</v>
      </c>
      <c r="O29" s="21">
        <f t="shared" si="27"/>
        <v>0.20583788378740223</v>
      </c>
      <c r="P29" s="21">
        <f t="shared" si="27"/>
        <v>0.40304982513540516</v>
      </c>
      <c r="Q29" s="21">
        <f t="shared" si="27"/>
        <v>0.23659203968788076</v>
      </c>
      <c r="R29" s="21">
        <f t="shared" si="27"/>
        <v>0.29174428160014193</v>
      </c>
      <c r="S29" s="21">
        <f t="shared" si="27"/>
        <v>0.42205508154515448</v>
      </c>
      <c r="T29" s="21">
        <f t="shared" si="27"/>
        <v>0.38749897563051638</v>
      </c>
      <c r="U29" s="21">
        <f t="shared" si="27"/>
        <v>0.43380463562721377</v>
      </c>
      <c r="V29" s="21">
        <f t="shared" si="27"/>
        <v>0.4432785451292871</v>
      </c>
      <c r="W29" s="21">
        <f t="shared" si="27"/>
        <v>0.40197144953187108</v>
      </c>
      <c r="X29" s="21">
        <f t="shared" si="27"/>
        <v>0.35445094779889486</v>
      </c>
      <c r="Y29" s="21">
        <f t="shared" si="27"/>
        <v>0.26239762411873857</v>
      </c>
      <c r="Z29" s="21">
        <f t="shared" si="27"/>
        <v>0.46023409763344514</v>
      </c>
      <c r="AA29" s="21">
        <f t="shared" si="27"/>
        <v>0.32988375069122733</v>
      </c>
      <c r="AB29" s="21">
        <f t="shared" si="27"/>
        <v>0.2688618982581486</v>
      </c>
    </row>
    <row r="30" spans="2:28">
      <c r="B30" s="18" t="s">
        <v>4</v>
      </c>
      <c r="C30" s="18" t="s">
        <v>123</v>
      </c>
      <c r="D30" s="21">
        <f>D103/D66</f>
        <v>0.14390886363987646</v>
      </c>
      <c r="E30" s="21">
        <f>E103/E66</f>
        <v>0.13670842853429369</v>
      </c>
      <c r="F30" s="21">
        <f>F103/F66</f>
        <v>0.13215370771573809</v>
      </c>
      <c r="G30" s="21">
        <f t="shared" si="18"/>
        <v>0.13731425346169859</v>
      </c>
      <c r="H30" s="21">
        <f t="shared" si="18"/>
        <v>0.14281107436419624</v>
      </c>
      <c r="I30" s="21">
        <f t="shared" si="18"/>
        <v>0.15314207203350536</v>
      </c>
      <c r="J30" s="21">
        <f t="shared" si="18"/>
        <v>0.16066510908489176</v>
      </c>
      <c r="K30" s="21">
        <f t="shared" si="18"/>
        <v>0.17026240007709334</v>
      </c>
      <c r="L30" s="21">
        <f t="shared" si="18"/>
        <v>0.17505125523396789</v>
      </c>
      <c r="M30" s="21">
        <f t="shared" si="18"/>
        <v>0.18055617019097048</v>
      </c>
      <c r="N30" s="21">
        <f t="shared" ref="N30:AB30" si="28">N103/N66</f>
        <v>0.18827182303086568</v>
      </c>
      <c r="O30" s="21">
        <f t="shared" si="28"/>
        <v>0.29819515421095094</v>
      </c>
      <c r="P30" s="21">
        <f t="shared" si="28"/>
        <v>0.35371966477137123</v>
      </c>
      <c r="Q30" s="21">
        <f t="shared" si="28"/>
        <v>0.32644682678679937</v>
      </c>
      <c r="R30" s="21">
        <f t="shared" si="28"/>
        <v>0.21447887908697566</v>
      </c>
      <c r="S30" s="21">
        <f t="shared" si="28"/>
        <v>0.13119806554738697</v>
      </c>
      <c r="T30" s="21">
        <f t="shared" si="28"/>
        <v>9.2190851798802306E-2</v>
      </c>
      <c r="U30" s="21">
        <f t="shared" si="28"/>
        <v>0.13520825184239219</v>
      </c>
      <c r="V30" s="21">
        <f t="shared" si="28"/>
        <v>0.13977104641046753</v>
      </c>
      <c r="W30" s="21">
        <f t="shared" si="28"/>
        <v>0.13454842198367353</v>
      </c>
      <c r="X30" s="21">
        <f t="shared" si="28"/>
        <v>0.15896130830972593</v>
      </c>
      <c r="Y30" s="21">
        <f t="shared" si="28"/>
        <v>0.2606076855722424</v>
      </c>
      <c r="Z30" s="21">
        <f t="shared" si="28"/>
        <v>0.32851642252754781</v>
      </c>
      <c r="AA30" s="21">
        <f t="shared" si="28"/>
        <v>0.32613666478395609</v>
      </c>
      <c r="AB30" s="21">
        <f t="shared" si="28"/>
        <v>0.32048682571345288</v>
      </c>
    </row>
    <row r="31" spans="2:28">
      <c r="B31" s="18" t="s">
        <v>34</v>
      </c>
      <c r="C31" s="18" t="s">
        <v>123</v>
      </c>
      <c r="D31" s="21"/>
      <c r="E31" s="21"/>
      <c r="F31" s="21"/>
      <c r="G31" s="21"/>
      <c r="H31" s="21"/>
      <c r="I31" s="21">
        <f t="shared" ref="I31:M38" si="29">I104/I67</f>
        <v>0.44766229785329897</v>
      </c>
      <c r="J31" s="21">
        <f t="shared" si="29"/>
        <v>0.49524263625452647</v>
      </c>
      <c r="K31" s="21">
        <f t="shared" si="29"/>
        <v>0.55933451461598116</v>
      </c>
      <c r="L31" s="21">
        <f t="shared" si="29"/>
        <v>0.6117059679629484</v>
      </c>
      <c r="M31" s="21">
        <f t="shared" si="29"/>
        <v>0.63233641549646558</v>
      </c>
      <c r="N31" s="21">
        <f t="shared" ref="N31:AB31" si="30">N104/N67</f>
        <v>0.63210352946422621</v>
      </c>
      <c r="O31" s="21">
        <f t="shared" si="30"/>
        <v>0.63772883396127888</v>
      </c>
      <c r="P31" s="21">
        <f t="shared" si="30"/>
        <v>0.61431833510411027</v>
      </c>
      <c r="Q31" s="21">
        <f t="shared" si="30"/>
        <v>0.55001996618786753</v>
      </c>
      <c r="R31" s="21">
        <f t="shared" si="30"/>
        <v>0.49378120705464057</v>
      </c>
      <c r="S31" s="21">
        <f t="shared" si="30"/>
        <v>0.48107408300058113</v>
      </c>
      <c r="T31" s="21">
        <f t="shared" si="30"/>
        <v>0.46545486764033206</v>
      </c>
      <c r="U31" s="21">
        <f t="shared" si="30"/>
        <v>0.43468261331310326</v>
      </c>
      <c r="V31" s="21">
        <f t="shared" si="30"/>
        <v>0.4366896227085586</v>
      </c>
      <c r="W31" s="21">
        <f t="shared" si="30"/>
        <v>0.42793935389368143</v>
      </c>
      <c r="X31" s="21">
        <f t="shared" si="30"/>
        <v>0.37564970190574443</v>
      </c>
      <c r="Y31" s="21">
        <f t="shared" si="30"/>
        <v>0.37907356520543245</v>
      </c>
      <c r="Z31" s="21">
        <f t="shared" si="30"/>
        <v>0.37603831822819977</v>
      </c>
      <c r="AA31" s="21">
        <f t="shared" si="30"/>
        <v>0.35672343329522865</v>
      </c>
      <c r="AB31" s="21">
        <f t="shared" si="30"/>
        <v>0.35006488724879947</v>
      </c>
    </row>
    <row r="32" spans="2:28">
      <c r="B32" s="18" t="s">
        <v>35</v>
      </c>
      <c r="C32" s="18" t="s">
        <v>123</v>
      </c>
      <c r="D32" s="21">
        <f t="shared" ref="D32:H38" si="31">D105/D68</f>
        <v>0.18023939008488943</v>
      </c>
      <c r="E32" s="21">
        <f t="shared" si="31"/>
        <v>0.25203212900858074</v>
      </c>
      <c r="F32" s="21">
        <f t="shared" si="31"/>
        <v>0.1841214326820847</v>
      </c>
      <c r="G32" s="21">
        <f t="shared" si="31"/>
        <v>0.17318500737073983</v>
      </c>
      <c r="H32" s="21">
        <f t="shared" si="31"/>
        <v>0.28294490613539691</v>
      </c>
      <c r="I32" s="21">
        <f t="shared" si="29"/>
        <v>0.34333542371265779</v>
      </c>
      <c r="J32" s="21">
        <f t="shared" si="29"/>
        <v>0.32037805557618354</v>
      </c>
      <c r="K32" s="21">
        <f t="shared" si="29"/>
        <v>0.40828799082366557</v>
      </c>
      <c r="L32" s="21">
        <f t="shared" si="29"/>
        <v>0.3359158769588006</v>
      </c>
      <c r="M32" s="21">
        <f t="shared" si="29"/>
        <v>0.27821618850737684</v>
      </c>
      <c r="N32" s="21">
        <f t="shared" ref="N32:AB32" si="32">N105/N68</f>
        <v>0.39873285142080395</v>
      </c>
      <c r="O32" s="21">
        <f t="shared" si="32"/>
        <v>0.34455663860317276</v>
      </c>
      <c r="P32" s="21">
        <f t="shared" si="32"/>
        <v>0.33508625840622841</v>
      </c>
      <c r="Q32" s="21">
        <f t="shared" si="32"/>
        <v>0.3123355952801003</v>
      </c>
      <c r="R32" s="21">
        <f t="shared" si="32"/>
        <v>0.29556015240950928</v>
      </c>
      <c r="S32" s="21">
        <f t="shared" si="32"/>
        <v>0.26974343797146366</v>
      </c>
      <c r="T32" s="21">
        <f t="shared" si="32"/>
        <v>0.16166428233842153</v>
      </c>
      <c r="U32" s="21">
        <f t="shared" si="32"/>
        <v>0.12445826277012718</v>
      </c>
      <c r="V32" s="21">
        <f t="shared" si="32"/>
        <v>0.11332200604982234</v>
      </c>
      <c r="W32" s="21">
        <f t="shared" si="32"/>
        <v>9.893518657690388E-2</v>
      </c>
      <c r="X32" s="21">
        <f t="shared" si="32"/>
        <v>0.10556391092848319</v>
      </c>
      <c r="Y32" s="21">
        <f t="shared" si="32"/>
        <v>0.10603077119947039</v>
      </c>
      <c r="Z32" s="21">
        <f t="shared" si="32"/>
        <v>0.13241494186528641</v>
      </c>
      <c r="AA32" s="21">
        <f t="shared" si="32"/>
        <v>0.11898068170861478</v>
      </c>
      <c r="AB32" s="21">
        <f t="shared" si="32"/>
        <v>0.11527464891732944</v>
      </c>
    </row>
    <row r="33" spans="2:28">
      <c r="B33" s="18" t="s">
        <v>36</v>
      </c>
      <c r="C33" s="18" t="s">
        <v>123</v>
      </c>
      <c r="D33" s="21">
        <f t="shared" si="31"/>
        <v>0.37843301128590673</v>
      </c>
      <c r="E33" s="21">
        <f t="shared" si="31"/>
        <v>0.36853841744579963</v>
      </c>
      <c r="F33" s="21">
        <f t="shared" si="31"/>
        <v>0.36035932312740743</v>
      </c>
      <c r="G33" s="21">
        <f t="shared" si="31"/>
        <v>0.34486699311516172</v>
      </c>
      <c r="H33" s="21">
        <f t="shared" si="31"/>
        <v>0.33111117972075937</v>
      </c>
      <c r="I33" s="21">
        <f t="shared" si="29"/>
        <v>0.31823593877317052</v>
      </c>
      <c r="J33" s="21">
        <f t="shared" si="29"/>
        <v>0.30980837328140054</v>
      </c>
      <c r="K33" s="21">
        <f t="shared" si="29"/>
        <v>0.48969234928292094</v>
      </c>
      <c r="L33" s="21">
        <f t="shared" si="29"/>
        <v>0.47958723814700682</v>
      </c>
      <c r="M33" s="21">
        <f t="shared" si="29"/>
        <v>0.46188389398257462</v>
      </c>
      <c r="N33" s="21">
        <f t="shared" ref="N33:AB33" si="33">N106/N69</f>
        <v>0.43023523786473067</v>
      </c>
      <c r="O33" s="21">
        <f t="shared" si="33"/>
        <v>0.44910466218902745</v>
      </c>
      <c r="P33" s="21">
        <f t="shared" si="33"/>
        <v>0.49835325770014172</v>
      </c>
      <c r="Q33" s="21">
        <f t="shared" si="33"/>
        <v>0.40483714527570347</v>
      </c>
      <c r="R33" s="21">
        <f t="shared" si="33"/>
        <v>0.43515740933893793</v>
      </c>
      <c r="S33" s="21">
        <f t="shared" si="33"/>
        <v>0.40674061860566574</v>
      </c>
      <c r="T33" s="21">
        <f t="shared" si="33"/>
        <v>0.53790508503162693</v>
      </c>
      <c r="U33" s="21">
        <f t="shared" si="33"/>
        <v>0.5104441614076497</v>
      </c>
      <c r="V33" s="21">
        <f t="shared" si="33"/>
        <v>0.75426895267092253</v>
      </c>
      <c r="W33" s="21">
        <f t="shared" si="33"/>
        <v>0.77742694565251702</v>
      </c>
      <c r="X33" s="21">
        <f t="shared" si="33"/>
        <v>0.88656543580666114</v>
      </c>
      <c r="Y33" s="21">
        <f t="shared" si="33"/>
        <v>0.95393199256454331</v>
      </c>
      <c r="Z33" s="21">
        <f t="shared" si="33"/>
        <v>1.0148287593256584</v>
      </c>
      <c r="AA33" s="21">
        <f t="shared" si="33"/>
        <v>1.012336386267475</v>
      </c>
      <c r="AB33" s="21">
        <f t="shared" si="33"/>
        <v>1.0734582008402613</v>
      </c>
    </row>
    <row r="34" spans="2:28">
      <c r="B34" s="18" t="s">
        <v>37</v>
      </c>
      <c r="C34" s="18" t="s">
        <v>123</v>
      </c>
      <c r="D34" s="21">
        <f t="shared" si="31"/>
        <v>0.18036801860005758</v>
      </c>
      <c r="E34" s="21">
        <f t="shared" si="31"/>
        <v>0.18882004320238666</v>
      </c>
      <c r="F34" s="21">
        <f t="shared" si="31"/>
        <v>0.18730712792727872</v>
      </c>
      <c r="G34" s="21">
        <f t="shared" si="31"/>
        <v>0.19355180511823675</v>
      </c>
      <c r="H34" s="21">
        <f t="shared" si="31"/>
        <v>0.24639377100495111</v>
      </c>
      <c r="I34" s="21">
        <f t="shared" si="29"/>
        <v>0.27089932562896285</v>
      </c>
      <c r="J34" s="21">
        <f t="shared" si="29"/>
        <v>0.35584093929454264</v>
      </c>
      <c r="K34" s="21">
        <f t="shared" si="29"/>
        <v>0.34859304312759926</v>
      </c>
      <c r="L34" s="21">
        <f t="shared" si="29"/>
        <v>0.3367976988211201</v>
      </c>
      <c r="M34" s="21">
        <f t="shared" si="29"/>
        <v>0.34172853855857455</v>
      </c>
      <c r="N34" s="21">
        <f t="shared" ref="N34:AB34" si="34">N107/N70</f>
        <v>0.3655267369274568</v>
      </c>
      <c r="O34" s="21">
        <f t="shared" si="34"/>
        <v>0.39027950515977383</v>
      </c>
      <c r="P34" s="21">
        <f t="shared" si="34"/>
        <v>0.37745681949644916</v>
      </c>
      <c r="Q34" s="21">
        <f t="shared" si="34"/>
        <v>0.34189656455055539</v>
      </c>
      <c r="R34" s="21">
        <f t="shared" si="34"/>
        <v>0.29540061871397544</v>
      </c>
      <c r="S34" s="21">
        <f t="shared" si="34"/>
        <v>0.15924981541246733</v>
      </c>
      <c r="T34" s="21">
        <f t="shared" si="34"/>
        <v>0.14099952857694689</v>
      </c>
      <c r="U34" s="21">
        <f t="shared" si="34"/>
        <v>0.17050146267202945</v>
      </c>
      <c r="V34" s="21">
        <f t="shared" si="34"/>
        <v>0.24158423297897297</v>
      </c>
      <c r="W34" s="21">
        <f t="shared" si="34"/>
        <v>0.30382955494298658</v>
      </c>
      <c r="X34" s="21">
        <f t="shared" si="34"/>
        <v>0.4241823378809309</v>
      </c>
      <c r="Y34" s="21">
        <f t="shared" si="34"/>
        <v>0.63445049319200131</v>
      </c>
      <c r="Z34" s="21">
        <f t="shared" si="34"/>
        <v>0.68106975287686389</v>
      </c>
      <c r="AA34" s="21">
        <f t="shared" si="34"/>
        <v>0.54114466157104502</v>
      </c>
      <c r="AB34" s="21">
        <f t="shared" si="34"/>
        <v>0.46528073263596492</v>
      </c>
    </row>
    <row r="35" spans="2:28">
      <c r="B35" s="18" t="s">
        <v>38</v>
      </c>
      <c r="C35" s="18" t="s">
        <v>123</v>
      </c>
      <c r="D35" s="21">
        <f t="shared" si="31"/>
        <v>0.2220444377498598</v>
      </c>
      <c r="E35" s="21">
        <f t="shared" si="31"/>
        <v>0.12259482235874247</v>
      </c>
      <c r="F35" s="21">
        <f t="shared" si="31"/>
        <v>0.12406007455893145</v>
      </c>
      <c r="G35" s="21">
        <f t="shared" si="31"/>
        <v>0.16252030136964973</v>
      </c>
      <c r="H35" s="21">
        <f t="shared" si="31"/>
        <v>0.26211820764377225</v>
      </c>
      <c r="I35" s="21">
        <f t="shared" si="29"/>
        <v>0.29069942837972879</v>
      </c>
      <c r="J35" s="21">
        <f t="shared" si="29"/>
        <v>0.26755748214632008</v>
      </c>
      <c r="K35" s="21">
        <f t="shared" si="29"/>
        <v>0.27122232616227088</v>
      </c>
      <c r="L35" s="21">
        <f t="shared" si="29"/>
        <v>0.29727513133802602</v>
      </c>
      <c r="M35" s="21">
        <f t="shared" si="29"/>
        <v>0.26867947885923982</v>
      </c>
      <c r="N35" s="21">
        <f t="shared" ref="N35:AB35" si="35">N108/N71</f>
        <v>0.29206089229615168</v>
      </c>
      <c r="O35" s="21">
        <f t="shared" si="35"/>
        <v>0.41675885925718364</v>
      </c>
      <c r="P35" s="21">
        <f t="shared" si="35"/>
        <v>0.47544322425973401</v>
      </c>
      <c r="Q35" s="21">
        <f t="shared" si="35"/>
        <v>0.35592998578061136</v>
      </c>
      <c r="R35" s="21">
        <f t="shared" si="35"/>
        <v>0.37781710345631486</v>
      </c>
      <c r="S35" s="21">
        <f t="shared" si="35"/>
        <v>0.30635910307752706</v>
      </c>
      <c r="T35" s="21">
        <f t="shared" si="35"/>
        <v>0.31335812734656915</v>
      </c>
      <c r="U35" s="21">
        <f t="shared" si="35"/>
        <v>0.29261385533738538</v>
      </c>
      <c r="V35" s="21">
        <f t="shared" si="35"/>
        <v>0.29354141415062324</v>
      </c>
      <c r="W35" s="21">
        <f t="shared" si="35"/>
        <v>0.27489529389177536</v>
      </c>
      <c r="X35" s="21">
        <f t="shared" si="35"/>
        <v>0.24578115517876659</v>
      </c>
      <c r="Y35" s="21">
        <f t="shared" si="35"/>
        <v>0.26134311182221481</v>
      </c>
      <c r="Z35" s="21">
        <f t="shared" si="35"/>
        <v>0.24271711106632821</v>
      </c>
      <c r="AA35" s="21">
        <f t="shared" si="35"/>
        <v>0.23102339403126157</v>
      </c>
      <c r="AB35" s="21">
        <f t="shared" si="35"/>
        <v>0.21873911050531161</v>
      </c>
    </row>
    <row r="36" spans="2:28">
      <c r="B36" s="18" t="s">
        <v>39</v>
      </c>
      <c r="C36" s="18" t="s">
        <v>123</v>
      </c>
      <c r="D36" s="21">
        <f t="shared" si="31"/>
        <v>0.34119292437551574</v>
      </c>
      <c r="E36" s="21">
        <f t="shared" si="31"/>
        <v>0.28434226886869063</v>
      </c>
      <c r="F36" s="21">
        <f t="shared" si="31"/>
        <v>0.26686017517687616</v>
      </c>
      <c r="G36" s="21">
        <f t="shared" si="31"/>
        <v>0.32134190116389744</v>
      </c>
      <c r="H36" s="21">
        <f t="shared" si="31"/>
        <v>0.3057361982702359</v>
      </c>
      <c r="I36" s="21">
        <f t="shared" si="29"/>
        <v>0.39826231266913675</v>
      </c>
      <c r="J36" s="21">
        <f t="shared" si="29"/>
        <v>0.40938766892721656</v>
      </c>
      <c r="K36" s="21">
        <f t="shared" si="29"/>
        <v>0.52853235407805432</v>
      </c>
      <c r="L36" s="21">
        <f t="shared" si="29"/>
        <v>0.71455613292524955</v>
      </c>
      <c r="M36" s="21">
        <f t="shared" si="29"/>
        <v>0.67090422082598766</v>
      </c>
      <c r="N36" s="21">
        <f t="shared" ref="N36:AB36" si="36">N109/N72</f>
        <v>0.68979152937364652</v>
      </c>
      <c r="O36" s="21">
        <f t="shared" si="36"/>
        <v>0.72828438171794707</v>
      </c>
      <c r="P36" s="21">
        <f t="shared" si="36"/>
        <v>1.1110570790400989</v>
      </c>
      <c r="Q36" s="21">
        <f t="shared" si="36"/>
        <v>0.43979544045660085</v>
      </c>
      <c r="R36" s="21">
        <f t="shared" si="36"/>
        <v>0.69265631665962024</v>
      </c>
      <c r="S36" s="21">
        <f t="shared" si="36"/>
        <v>0.60460111947349171</v>
      </c>
      <c r="T36" s="21">
        <f t="shared" si="36"/>
        <v>0.57484518181800737</v>
      </c>
      <c r="U36" s="21">
        <f t="shared" si="36"/>
        <v>0.56822374553818689</v>
      </c>
      <c r="V36" s="21">
        <f t="shared" si="36"/>
        <v>0.56077927949475259</v>
      </c>
      <c r="W36" s="21">
        <f t="shared" si="36"/>
        <v>0.54493292017982398</v>
      </c>
      <c r="X36" s="21">
        <f t="shared" si="36"/>
        <v>0.42949968926109605</v>
      </c>
      <c r="Y36" s="21">
        <f t="shared" si="36"/>
        <v>0.42337550819791758</v>
      </c>
      <c r="Z36" s="21">
        <f t="shared" si="36"/>
        <v>0.42600392103402873</v>
      </c>
      <c r="AA36" s="21">
        <f t="shared" si="36"/>
        <v>0.43655680183958345</v>
      </c>
      <c r="AB36" s="21">
        <f t="shared" si="36"/>
        <v>0.48536262441519773</v>
      </c>
    </row>
    <row r="37" spans="2:28">
      <c r="B37" s="18" t="s">
        <v>40</v>
      </c>
      <c r="C37" s="18" t="s">
        <v>123</v>
      </c>
      <c r="D37" s="21">
        <f t="shared" si="31"/>
        <v>0.3324383768208205</v>
      </c>
      <c r="E37" s="21">
        <f t="shared" si="31"/>
        <v>0.32887945147217301</v>
      </c>
      <c r="F37" s="21">
        <f t="shared" si="31"/>
        <v>0.33718245291552296</v>
      </c>
      <c r="G37" s="21">
        <f t="shared" si="31"/>
        <v>0.30035556238188937</v>
      </c>
      <c r="H37" s="21">
        <f t="shared" si="31"/>
        <v>0.31676060530326799</v>
      </c>
      <c r="I37" s="21">
        <f t="shared" si="29"/>
        <v>0.32635568891588745</v>
      </c>
      <c r="J37" s="21">
        <f t="shared" si="29"/>
        <v>0.32389746832630245</v>
      </c>
      <c r="K37" s="21">
        <f t="shared" si="29"/>
        <v>0.34029539624294985</v>
      </c>
      <c r="L37" s="21">
        <f t="shared" si="29"/>
        <v>0.35159956044241336</v>
      </c>
      <c r="M37" s="21">
        <f t="shared" si="29"/>
        <v>0.36756703148439518</v>
      </c>
      <c r="N37" s="21">
        <f t="shared" ref="N37:AB37" si="37">N110/N73</f>
        <v>0.41480282404225682</v>
      </c>
      <c r="O37" s="21">
        <f t="shared" si="37"/>
        <v>0.46297474720979004</v>
      </c>
      <c r="P37" s="21">
        <f t="shared" si="37"/>
        <v>0.49784871691969956</v>
      </c>
      <c r="Q37" s="21">
        <f t="shared" si="37"/>
        <v>0.48696389993798966</v>
      </c>
      <c r="R37" s="21">
        <f t="shared" si="37"/>
        <v>0.51059196367420567</v>
      </c>
      <c r="S37" s="21">
        <f t="shared" si="37"/>
        <v>0.46597174516620476</v>
      </c>
      <c r="T37" s="21">
        <f t="shared" si="37"/>
        <v>0.4413874629448537</v>
      </c>
      <c r="U37" s="21">
        <f t="shared" si="37"/>
        <v>0.50165423886137916</v>
      </c>
      <c r="V37" s="21">
        <f t="shared" si="37"/>
        <v>0.50568391924153799</v>
      </c>
      <c r="W37" s="21">
        <f t="shared" si="37"/>
        <v>0.38591214588187855</v>
      </c>
      <c r="X37" s="21">
        <f t="shared" si="37"/>
        <v>0.32250857079733292</v>
      </c>
      <c r="Y37" s="21">
        <f t="shared" si="37"/>
        <v>0.30374715346427716</v>
      </c>
      <c r="Z37" s="21">
        <f t="shared" si="37"/>
        <v>0.37977265369396535</v>
      </c>
      <c r="AA37" s="21">
        <f t="shared" si="37"/>
        <v>0.34272752293870262</v>
      </c>
      <c r="AB37" s="21">
        <f t="shared" si="37"/>
        <v>0.29896317162571689</v>
      </c>
    </row>
    <row r="38" spans="2:28">
      <c r="B38" s="18" t="s">
        <v>41</v>
      </c>
      <c r="C38" s="18" t="s">
        <v>123</v>
      </c>
      <c r="D38" s="21">
        <f t="shared" si="31"/>
        <v>0.23037668862348029</v>
      </c>
      <c r="E38" s="21">
        <f t="shared" si="31"/>
        <v>0.23213837761173239</v>
      </c>
      <c r="F38" s="21">
        <f t="shared" si="31"/>
        <v>0.23206863237609293</v>
      </c>
      <c r="G38" s="21">
        <f t="shared" si="31"/>
        <v>0.21530603184531288</v>
      </c>
      <c r="H38" s="21">
        <f t="shared" si="31"/>
        <v>0.24979860163308196</v>
      </c>
      <c r="I38" s="21">
        <f t="shared" si="29"/>
        <v>0.27170520532493492</v>
      </c>
      <c r="J38" s="21">
        <f t="shared" si="29"/>
        <v>0.28311358840691719</v>
      </c>
      <c r="K38" s="21">
        <f t="shared" si="29"/>
        <v>0.31906704688147292</v>
      </c>
      <c r="L38" s="21">
        <f t="shared" si="29"/>
        <v>0.35264528069563372</v>
      </c>
      <c r="M38" s="21">
        <f t="shared" si="29"/>
        <v>0.34419715657894889</v>
      </c>
      <c r="N38" s="21">
        <f t="shared" ref="N38:AB38" si="38">N111/N74</f>
        <v>0.37013579752449344</v>
      </c>
      <c r="O38" s="21">
        <f t="shared" si="38"/>
        <v>0.37028574380241253</v>
      </c>
      <c r="P38" s="21">
        <f t="shared" si="38"/>
        <v>0.38256208859008495</v>
      </c>
      <c r="Q38" s="21">
        <f t="shared" si="38"/>
        <v>0.36463820603939767</v>
      </c>
      <c r="R38" s="21">
        <f t="shared" si="38"/>
        <v>0.37340898200828393</v>
      </c>
      <c r="S38" s="21">
        <f t="shared" si="38"/>
        <v>0.34079682426161573</v>
      </c>
      <c r="T38" s="21">
        <f t="shared" si="38"/>
        <v>0.31679947320145901</v>
      </c>
      <c r="U38" s="21">
        <f t="shared" si="38"/>
        <v>0.32184406288949247</v>
      </c>
      <c r="V38" s="21">
        <f t="shared" si="38"/>
        <v>0.33752924263495115</v>
      </c>
      <c r="W38" s="21">
        <f t="shared" si="38"/>
        <v>0.30848600211022464</v>
      </c>
      <c r="X38" s="21">
        <f t="shared" si="38"/>
        <v>0.26550260592466224</v>
      </c>
      <c r="Y38" s="21">
        <f t="shared" si="38"/>
        <v>0.30617489289120314</v>
      </c>
      <c r="Z38" s="21">
        <f t="shared" si="38"/>
        <v>0.32516368822940417</v>
      </c>
      <c r="AA38" s="21">
        <f t="shared" si="38"/>
        <v>0.30372154474872426</v>
      </c>
      <c r="AB38" s="21">
        <f t="shared" si="38"/>
        <v>0.32494245810028488</v>
      </c>
    </row>
    <row r="40" spans="2:28">
      <c r="B40" s="19" t="s">
        <v>16</v>
      </c>
      <c r="C40" s="19" t="s">
        <v>82</v>
      </c>
      <c r="D40" s="19">
        <v>2000</v>
      </c>
      <c r="E40" s="19">
        <v>2001</v>
      </c>
      <c r="F40" s="19">
        <v>2002</v>
      </c>
      <c r="G40" s="19">
        <v>2003</v>
      </c>
      <c r="H40" s="19">
        <v>2004</v>
      </c>
      <c r="I40" s="19">
        <v>2005</v>
      </c>
      <c r="J40" s="19">
        <v>2006</v>
      </c>
      <c r="K40" s="19">
        <v>2007</v>
      </c>
      <c r="L40" s="19">
        <v>2008</v>
      </c>
      <c r="M40" s="19">
        <v>2009</v>
      </c>
      <c r="N40" s="19">
        <v>2010</v>
      </c>
      <c r="O40" s="19">
        <v>2011</v>
      </c>
      <c r="P40" s="19">
        <v>2012</v>
      </c>
      <c r="Q40" s="19">
        <v>2013</v>
      </c>
      <c r="R40" s="19">
        <v>2014</v>
      </c>
      <c r="S40" s="19">
        <v>2015</v>
      </c>
      <c r="T40" s="19">
        <v>2016</v>
      </c>
      <c r="U40" s="19">
        <v>2017</v>
      </c>
      <c r="V40" s="19">
        <v>2018</v>
      </c>
      <c r="W40" s="19">
        <v>2019</v>
      </c>
      <c r="X40" s="19">
        <v>2020</v>
      </c>
      <c r="Y40" s="19">
        <v>2021</v>
      </c>
      <c r="Z40" s="19">
        <v>2022</v>
      </c>
      <c r="AA40" s="19">
        <v>2023</v>
      </c>
      <c r="AB40" s="19">
        <v>2024</v>
      </c>
    </row>
    <row r="41" spans="2:28">
      <c r="B41" s="18" t="s">
        <v>3</v>
      </c>
      <c r="C41" s="18" t="s">
        <v>83</v>
      </c>
      <c r="D41" s="18">
        <v>110073.10063044399</v>
      </c>
      <c r="E41" s="18">
        <v>108170.82024483501</v>
      </c>
      <c r="F41" s="18">
        <v>129876.076830993</v>
      </c>
      <c r="G41" s="18">
        <v>137049.26333627</v>
      </c>
      <c r="H41" s="18">
        <v>123849.977273078</v>
      </c>
      <c r="I41" s="18">
        <v>111314.857606581</v>
      </c>
      <c r="J41" s="18">
        <v>113050.945699808</v>
      </c>
      <c r="K41" s="18">
        <v>110379.794331517</v>
      </c>
      <c r="L41" s="18">
        <v>104597.168095471</v>
      </c>
      <c r="M41" s="18">
        <v>98833.536625356195</v>
      </c>
      <c r="N41" s="18">
        <v>101545.23682721</v>
      </c>
      <c r="O41" s="18">
        <v>104874.21115893</v>
      </c>
      <c r="P41" s="18">
        <v>108914.89762103</v>
      </c>
      <c r="Q41" s="18">
        <v>111755.82655862</v>
      </c>
      <c r="R41" s="18">
        <v>113490.35926128</v>
      </c>
      <c r="S41" s="18">
        <v>112665.53226656999</v>
      </c>
      <c r="T41" s="18">
        <v>116374.29988517</v>
      </c>
      <c r="U41" s="18">
        <v>121240.97871788</v>
      </c>
      <c r="V41" s="18">
        <v>126824.36523638001</v>
      </c>
      <c r="W41" s="18">
        <v>132069.62079771</v>
      </c>
      <c r="X41" s="18">
        <v>131580.96715754</v>
      </c>
      <c r="Y41" s="18">
        <v>135274.03929591001</v>
      </c>
      <c r="Z41" s="18">
        <v>140971.71536716999</v>
      </c>
      <c r="AA41" s="18">
        <v>146932.5</v>
      </c>
      <c r="AB41" s="18">
        <v>153780.49</v>
      </c>
    </row>
    <row r="42" spans="2:28">
      <c r="B42" s="18" t="s">
        <v>11</v>
      </c>
      <c r="C42" s="18" t="s">
        <v>83</v>
      </c>
      <c r="D42" s="18">
        <v>56050.739652926102</v>
      </c>
      <c r="E42" s="18">
        <v>58036.077509045099</v>
      </c>
      <c r="F42" s="18">
        <v>59801.795315228599</v>
      </c>
      <c r="G42" s="18">
        <v>61934.457550627601</v>
      </c>
      <c r="H42" s="18">
        <v>64798.4600054041</v>
      </c>
      <c r="I42" s="18">
        <v>68398.8025160978</v>
      </c>
      <c r="J42" s="18">
        <v>72008.991461483194</v>
      </c>
      <c r="K42" s="18">
        <v>79361.598533127006</v>
      </c>
      <c r="L42" s="18">
        <v>84102.023158664699</v>
      </c>
      <c r="M42" s="18">
        <v>88583.361724681701</v>
      </c>
      <c r="N42" s="18">
        <v>93749.349737340002</v>
      </c>
      <c r="O42" s="18">
        <v>99991.631928589995</v>
      </c>
      <c r="P42" s="18">
        <v>106951.46495376001</v>
      </c>
      <c r="Q42" s="18">
        <v>114103.58075417001</v>
      </c>
      <c r="R42" s="18">
        <v>121787.57471888</v>
      </c>
      <c r="S42" s="18">
        <v>129126.56221023999</v>
      </c>
      <c r="T42" s="18">
        <v>137296.44521698001</v>
      </c>
      <c r="U42" s="18">
        <v>144933.31201297999</v>
      </c>
      <c r="V42" s="18">
        <v>154072.66260657</v>
      </c>
      <c r="W42" s="18">
        <v>162693.35730929</v>
      </c>
      <c r="X42" s="18">
        <v>147498.94317484999</v>
      </c>
      <c r="Y42" s="18">
        <v>143871.67790921999</v>
      </c>
      <c r="Z42" s="18">
        <v>150830.77481736001</v>
      </c>
      <c r="AA42" s="18">
        <v>159464.29999999999</v>
      </c>
      <c r="AB42" s="18">
        <v>168198.68</v>
      </c>
    </row>
    <row r="43" spans="2:28">
      <c r="B43" s="18" t="s">
        <v>10</v>
      </c>
      <c r="C43" s="18" t="s">
        <v>83</v>
      </c>
      <c r="D43" s="18">
        <v>138907.80531950999</v>
      </c>
      <c r="E43" s="18">
        <v>145601.68365166301</v>
      </c>
      <c r="F43" s="18">
        <v>151591.66919367999</v>
      </c>
      <c r="G43" s="18">
        <v>159280.603472702</v>
      </c>
      <c r="H43" s="18">
        <v>168241.18484865499</v>
      </c>
      <c r="I43" s="18">
        <v>178132.460339657</v>
      </c>
      <c r="J43" s="18">
        <v>188048.781631897</v>
      </c>
      <c r="K43" s="18">
        <v>230991.50772808399</v>
      </c>
      <c r="L43" s="18">
        <v>244330.14249941701</v>
      </c>
      <c r="M43" s="18">
        <v>255835.465092119</v>
      </c>
      <c r="N43" s="18">
        <v>271465.28322854999</v>
      </c>
      <c r="O43" s="18">
        <v>290545.83891881001</v>
      </c>
      <c r="P43" s="18">
        <v>310385.59246542997</v>
      </c>
      <c r="Q43" s="18">
        <v>331099.10550309002</v>
      </c>
      <c r="R43" s="18">
        <v>349351.22765870998</v>
      </c>
      <c r="S43" s="18">
        <v>368377.20302298001</v>
      </c>
      <c r="T43" s="18">
        <v>387835.08944909001</v>
      </c>
      <c r="U43" s="18">
        <v>410136.99842050998</v>
      </c>
      <c r="V43" s="18">
        <v>433782.71415294998</v>
      </c>
      <c r="W43" s="18">
        <v>456620.03495124</v>
      </c>
      <c r="X43" s="18">
        <v>441148.57728447998</v>
      </c>
      <c r="Y43" s="18">
        <v>460952.78569430998</v>
      </c>
      <c r="Z43" s="18">
        <v>484129.42101401999</v>
      </c>
      <c r="AA43" s="18">
        <v>507425.73</v>
      </c>
      <c r="AB43" s="18">
        <v>531735.25</v>
      </c>
    </row>
    <row r="44" spans="2:28">
      <c r="B44" s="18" t="s">
        <v>6</v>
      </c>
      <c r="C44" s="18" t="s">
        <v>83</v>
      </c>
      <c r="D44" s="18">
        <v>16550.038587152299</v>
      </c>
      <c r="E44" s="18">
        <v>17236.785436837799</v>
      </c>
      <c r="F44" s="18">
        <v>18052.424105988401</v>
      </c>
      <c r="G44" s="18">
        <v>19021.376012120101</v>
      </c>
      <c r="H44" s="18">
        <v>20045.453724585801</v>
      </c>
      <c r="I44" s="18">
        <v>21211.918810977801</v>
      </c>
      <c r="J44" s="18">
        <v>22474.093224320499</v>
      </c>
      <c r="K44" s="18">
        <v>23925.008132975701</v>
      </c>
      <c r="L44" s="18">
        <v>25300.078443040999</v>
      </c>
      <c r="M44" s="18">
        <v>26721.308368393598</v>
      </c>
      <c r="N44" s="18">
        <v>28352.57199475</v>
      </c>
      <c r="O44" s="18">
        <v>30295.054198310001</v>
      </c>
      <c r="P44" s="18">
        <v>32363.037833049999</v>
      </c>
      <c r="Q44" s="18">
        <v>34326.371684400001</v>
      </c>
      <c r="R44" s="18">
        <v>36207.14590756</v>
      </c>
      <c r="S44" s="18">
        <v>38066.005715430001</v>
      </c>
      <c r="T44" s="18">
        <v>40076.543830460003</v>
      </c>
      <c r="U44" s="18">
        <v>42073.515590019997</v>
      </c>
      <c r="V44" s="18">
        <v>44164.109812399998</v>
      </c>
      <c r="W44" s="18">
        <v>46345.453562440001</v>
      </c>
      <c r="X44" s="18">
        <v>46338.43149476</v>
      </c>
      <c r="Y44" s="18">
        <v>47853.777392759999</v>
      </c>
      <c r="Z44" s="18">
        <v>49916.060786770002</v>
      </c>
      <c r="AA44" s="18">
        <v>52051.6</v>
      </c>
      <c r="AB44" s="18">
        <v>54454.65</v>
      </c>
    </row>
    <row r="45" spans="2:28">
      <c r="B45" s="18" t="s">
        <v>9</v>
      </c>
      <c r="C45" s="18" t="s">
        <v>83</v>
      </c>
      <c r="D45" s="18">
        <v>41432.689263499597</v>
      </c>
      <c r="E45" s="18">
        <v>43198.330603263399</v>
      </c>
      <c r="F45" s="18">
        <v>45141.442733335301</v>
      </c>
      <c r="G45" s="18">
        <v>47210.2943528221</v>
      </c>
      <c r="H45" s="18">
        <v>49626.114173888403</v>
      </c>
      <c r="I45" s="18">
        <v>52064.199756495102</v>
      </c>
      <c r="J45" s="18">
        <v>53894.999126955001</v>
      </c>
      <c r="K45" s="18">
        <v>56219.053829885001</v>
      </c>
      <c r="L45" s="18">
        <v>59049.6576967293</v>
      </c>
      <c r="M45" s="18">
        <v>61667.594376374203</v>
      </c>
      <c r="N45" s="18">
        <v>64678.968195330002</v>
      </c>
      <c r="O45" s="18">
        <v>68049.874443099994</v>
      </c>
      <c r="P45" s="18">
        <v>71702.449184280005</v>
      </c>
      <c r="Q45" s="18">
        <v>75627.44958611</v>
      </c>
      <c r="R45" s="18">
        <v>79536.081753270002</v>
      </c>
      <c r="S45" s="18">
        <v>83474.451546349999</v>
      </c>
      <c r="T45" s="18">
        <v>87685.809614900005</v>
      </c>
      <c r="U45" s="18">
        <v>92300.243886340002</v>
      </c>
      <c r="V45" s="18">
        <v>98024.014331059996</v>
      </c>
      <c r="W45" s="18">
        <v>104485.45876363</v>
      </c>
      <c r="X45" s="18">
        <v>101698.52017030001</v>
      </c>
      <c r="Y45" s="18">
        <v>107372.56032521999</v>
      </c>
      <c r="Z45" s="18">
        <v>112901.32317418</v>
      </c>
      <c r="AA45" s="18">
        <v>118625.55</v>
      </c>
      <c r="AB45" s="18">
        <v>124590.45</v>
      </c>
    </row>
    <row r="46" spans="2:28">
      <c r="B46" s="18" t="s">
        <v>8</v>
      </c>
      <c r="C46" s="18" t="s">
        <v>83</v>
      </c>
      <c r="D46" s="18">
        <v>619429.61232461198</v>
      </c>
      <c r="E46" s="18">
        <v>648596.01514515898</v>
      </c>
      <c r="F46" s="18">
        <v>680325.22636584996</v>
      </c>
      <c r="G46" s="18">
        <v>716451.85725620005</v>
      </c>
      <c r="H46" s="18">
        <v>756947.17883621599</v>
      </c>
      <c r="I46" s="18">
        <v>802457.04206027603</v>
      </c>
      <c r="J46" s="18">
        <v>850169.452444989</v>
      </c>
      <c r="K46" s="18">
        <v>904916.30133896403</v>
      </c>
      <c r="L46" s="18">
        <v>961314.40060974902</v>
      </c>
      <c r="M46" s="18">
        <v>1009543.01712038</v>
      </c>
      <c r="N46" s="18">
        <v>1075183.48081373</v>
      </c>
      <c r="O46" s="18">
        <v>1147558.22641189</v>
      </c>
      <c r="P46" s="18">
        <v>1222527.92489167</v>
      </c>
      <c r="Q46" s="18">
        <v>1296694.5734725399</v>
      </c>
      <c r="R46" s="18">
        <v>1373389.12911488</v>
      </c>
      <c r="S46" s="18">
        <v>1454563.8473786199</v>
      </c>
      <c r="T46" s="18">
        <v>1539916.8810268501</v>
      </c>
      <c r="U46" s="18">
        <v>1635359.1473374299</v>
      </c>
      <c r="V46" s="18">
        <v>1735208.2910565599</v>
      </c>
      <c r="W46" s="18">
        <v>1836240.5495070701</v>
      </c>
      <c r="X46" s="18">
        <v>1792291.08718913</v>
      </c>
      <c r="Y46" s="18">
        <v>1856000.69484497</v>
      </c>
      <c r="Z46" s="18">
        <v>1953488.9909546301</v>
      </c>
      <c r="AA46" s="18">
        <v>2050474.47</v>
      </c>
      <c r="AB46" s="18">
        <v>2151198.75</v>
      </c>
    </row>
    <row r="47" spans="2:28">
      <c r="B47" s="18" t="s">
        <v>12</v>
      </c>
      <c r="C47" s="18" t="s">
        <v>83</v>
      </c>
      <c r="D47" s="18">
        <v>7814.9387783147104</v>
      </c>
      <c r="E47" s="18">
        <v>8248.2965015077807</v>
      </c>
      <c r="F47" s="18">
        <v>8780.6324512977098</v>
      </c>
      <c r="G47" s="18">
        <v>9384.5995005546501</v>
      </c>
      <c r="H47" s="18">
        <v>10034.795988505201</v>
      </c>
      <c r="I47" s="18">
        <v>10755.989108612101</v>
      </c>
      <c r="J47" s="18">
        <v>11541.540108110999</v>
      </c>
      <c r="K47" s="18">
        <v>12408.3023611149</v>
      </c>
      <c r="L47" s="18">
        <v>13370.8267688305</v>
      </c>
      <c r="M47" s="18">
        <v>14379.0155356632</v>
      </c>
      <c r="N47" s="18">
        <v>15475.736813330001</v>
      </c>
      <c r="O47" s="18">
        <v>16669.089604559998</v>
      </c>
      <c r="P47" s="18">
        <v>17987.074868299998</v>
      </c>
      <c r="Q47" s="18">
        <v>19367.572585680002</v>
      </c>
      <c r="R47" s="18">
        <v>20775.803252180001</v>
      </c>
      <c r="S47" s="18">
        <v>22068.802614799999</v>
      </c>
      <c r="T47" s="18">
        <v>23507.209013219999</v>
      </c>
      <c r="U47" s="18">
        <v>25090.130636260001</v>
      </c>
      <c r="V47" s="18">
        <v>26719.272121860002</v>
      </c>
      <c r="W47" s="18">
        <v>28429.970015999999</v>
      </c>
      <c r="X47" s="18">
        <v>28425.375458099999</v>
      </c>
      <c r="Y47" s="18">
        <v>29107.910850299999</v>
      </c>
      <c r="Z47" s="18">
        <v>30282.214825890002</v>
      </c>
      <c r="AA47" s="18">
        <v>31643.78</v>
      </c>
      <c r="AB47" s="18">
        <v>32951.94</v>
      </c>
    </row>
    <row r="48" spans="2:28">
      <c r="B48" s="18" t="s">
        <v>5</v>
      </c>
      <c r="C48" s="18" t="s">
        <v>83</v>
      </c>
      <c r="D48" s="18">
        <v>49631.702011847599</v>
      </c>
      <c r="E48" s="18">
        <v>52932.186373643402</v>
      </c>
      <c r="F48" s="18">
        <v>56032.890111581903</v>
      </c>
      <c r="G48" s="18">
        <v>58832.901285845597</v>
      </c>
      <c r="H48" s="18">
        <v>61999.861800004102</v>
      </c>
      <c r="I48" s="18">
        <v>65454.5781824273</v>
      </c>
      <c r="J48" s="18">
        <v>69311.571976084102</v>
      </c>
      <c r="K48" s="18">
        <v>74039.359941497198</v>
      </c>
      <c r="L48" s="18">
        <v>79343.211340652895</v>
      </c>
      <c r="M48" s="18">
        <v>84411.217772810007</v>
      </c>
      <c r="N48" s="18">
        <v>90618.411272040001</v>
      </c>
      <c r="O48" s="18">
        <v>97740.873964030005</v>
      </c>
      <c r="P48" s="18">
        <v>104615.08211916</v>
      </c>
      <c r="Q48" s="18">
        <v>111766.13095185001</v>
      </c>
      <c r="R48" s="18">
        <v>119991.44468537001</v>
      </c>
      <c r="S48" s="18">
        <v>125037.39804453</v>
      </c>
      <c r="T48" s="18">
        <v>130501.13209306</v>
      </c>
      <c r="U48" s="18">
        <v>136501.70606538001</v>
      </c>
      <c r="V48" s="18">
        <v>142901.99580599999</v>
      </c>
      <c r="W48" s="18">
        <v>149111.08835800999</v>
      </c>
      <c r="X48" s="18">
        <v>148354.25489861</v>
      </c>
      <c r="Y48" s="18">
        <v>153850.62853735001</v>
      </c>
      <c r="Z48" s="18">
        <v>161731.94796074001</v>
      </c>
      <c r="AA48" s="18">
        <v>169259.05</v>
      </c>
      <c r="AB48" s="18">
        <v>176868.44</v>
      </c>
    </row>
    <row r="49" spans="2:28">
      <c r="B49" s="18" t="s">
        <v>21</v>
      </c>
      <c r="C49" s="18" t="s">
        <v>83</v>
      </c>
      <c r="D49" s="18">
        <v>550817.39397982601</v>
      </c>
      <c r="E49" s="18">
        <v>572247.50868617499</v>
      </c>
      <c r="F49" s="18">
        <v>590149.68183589797</v>
      </c>
      <c r="G49" s="18">
        <v>645510.21572698897</v>
      </c>
      <c r="H49" s="18">
        <v>647192.67686553998</v>
      </c>
      <c r="I49" s="18">
        <v>683435.99681793305</v>
      </c>
      <c r="J49" s="18">
        <v>724561.84943529195</v>
      </c>
      <c r="K49" s="18">
        <v>771499.08824389998</v>
      </c>
      <c r="L49" s="18">
        <v>819406.17584116699</v>
      </c>
      <c r="M49" s="18">
        <v>853733.35529425705</v>
      </c>
      <c r="N49" s="18">
        <v>906685.76040491997</v>
      </c>
      <c r="O49" s="18">
        <v>965622.06109881005</v>
      </c>
      <c r="P49" s="18">
        <v>1028409.73951044</v>
      </c>
      <c r="Q49" s="18">
        <v>1093543.5458690501</v>
      </c>
      <c r="R49" s="18">
        <v>1149216.0570536901</v>
      </c>
      <c r="S49" s="18">
        <v>1207232.3415644299</v>
      </c>
      <c r="T49" s="18">
        <v>1275619.24115641</v>
      </c>
      <c r="U49" s="18">
        <v>1343662.1418310101</v>
      </c>
      <c r="V49" s="18">
        <v>1419624.1400437001</v>
      </c>
      <c r="W49" s="18">
        <v>1490959.6871041199</v>
      </c>
      <c r="X49" s="18">
        <v>1453380.7228411699</v>
      </c>
      <c r="Y49" s="18">
        <v>1507746.39013977</v>
      </c>
      <c r="Z49" s="18">
        <v>1589984.9263083299</v>
      </c>
      <c r="AA49" s="18">
        <v>1669406.36</v>
      </c>
      <c r="AB49" s="18">
        <v>1752124.2</v>
      </c>
    </row>
    <row r="50" spans="2:28">
      <c r="B50" s="18" t="s">
        <v>22</v>
      </c>
      <c r="C50" s="18" t="s">
        <v>83</v>
      </c>
      <c r="D50" s="18">
        <v>382285.341790559</v>
      </c>
      <c r="E50" s="18">
        <v>396000.447286312</v>
      </c>
      <c r="F50" s="18">
        <v>410072.32393386198</v>
      </c>
      <c r="G50" s="18">
        <v>430495.93091854698</v>
      </c>
      <c r="H50" s="18">
        <v>452570.94283037703</v>
      </c>
      <c r="I50" s="18">
        <v>476772.10116894601</v>
      </c>
      <c r="J50" s="18">
        <v>502206.75478712498</v>
      </c>
      <c r="K50" s="18">
        <v>530294.90602845</v>
      </c>
      <c r="L50" s="18">
        <v>560038.26530953997</v>
      </c>
      <c r="M50" s="18">
        <v>588830.90076133294</v>
      </c>
      <c r="N50" s="18">
        <v>623224.62132670998</v>
      </c>
      <c r="O50" s="18">
        <v>656268.12991410005</v>
      </c>
      <c r="P50" s="18">
        <v>691343.11596097006</v>
      </c>
      <c r="Q50" s="18">
        <v>726655.11806000001</v>
      </c>
      <c r="R50" s="18">
        <v>764959.15095000004</v>
      </c>
      <c r="S50" s="18">
        <v>806765.09216999996</v>
      </c>
      <c r="T50" s="18">
        <v>849099.35468999995</v>
      </c>
      <c r="U50" s="18">
        <v>893750.29616999999</v>
      </c>
      <c r="V50" s="18">
        <v>941091.14385999995</v>
      </c>
      <c r="W50" s="18">
        <v>991516.54330999998</v>
      </c>
      <c r="X50" s="18">
        <v>965227.26921000006</v>
      </c>
      <c r="Y50" s="18">
        <v>997321.13133999996</v>
      </c>
      <c r="Z50" s="18">
        <v>1050278.09192</v>
      </c>
      <c r="AA50" s="18">
        <v>1102437.49</v>
      </c>
      <c r="AB50" s="18">
        <v>1156998.8799999999</v>
      </c>
    </row>
    <row r="51" spans="2:28">
      <c r="B51" s="18" t="s">
        <v>23</v>
      </c>
      <c r="C51" s="18" t="s">
        <v>83</v>
      </c>
      <c r="D51" s="18">
        <v>587042.53250588104</v>
      </c>
      <c r="E51" s="18">
        <v>609092.45733972499</v>
      </c>
      <c r="F51" s="18">
        <v>632257.57451211696</v>
      </c>
      <c r="G51" s="18">
        <v>662450.67656759801</v>
      </c>
      <c r="H51" s="18">
        <v>701072.90911398095</v>
      </c>
      <c r="I51" s="18">
        <v>742014.60401574895</v>
      </c>
      <c r="J51" s="18">
        <v>785064.588278946</v>
      </c>
      <c r="K51" s="18">
        <v>834716.48814805597</v>
      </c>
      <c r="L51" s="18">
        <v>884307.78804315894</v>
      </c>
      <c r="M51" s="18">
        <v>928655.00502188003</v>
      </c>
      <c r="N51" s="18">
        <v>990648.84384112002</v>
      </c>
      <c r="O51" s="18">
        <v>1054401.77368671</v>
      </c>
      <c r="P51" s="18">
        <v>1124464.63972333</v>
      </c>
      <c r="Q51" s="18">
        <v>1192789.80180631</v>
      </c>
      <c r="R51" s="18">
        <v>1262684.49506941</v>
      </c>
      <c r="S51" s="18">
        <v>1331376.0989000001</v>
      </c>
      <c r="T51" s="18">
        <v>1405563.5110243701</v>
      </c>
      <c r="U51" s="18">
        <v>1482299.57682786</v>
      </c>
      <c r="V51" s="18">
        <v>1563441.82456247</v>
      </c>
      <c r="W51" s="18">
        <v>1649895.6414566501</v>
      </c>
      <c r="X51" s="18">
        <v>1611392.54676985</v>
      </c>
      <c r="Y51" s="18">
        <v>1668754.3594106799</v>
      </c>
      <c r="Z51" s="18">
        <v>1757874.8953795501</v>
      </c>
      <c r="AA51" s="18">
        <v>1844808.68</v>
      </c>
      <c r="AB51" s="18">
        <v>1935810.16</v>
      </c>
    </row>
    <row r="52" spans="2:28">
      <c r="B52" s="18" t="s">
        <v>24</v>
      </c>
      <c r="C52" s="18" t="s">
        <v>83</v>
      </c>
      <c r="D52" s="18">
        <v>54823.522882428799</v>
      </c>
      <c r="E52" s="18">
        <v>56297.048840802301</v>
      </c>
      <c r="F52" s="18">
        <v>59043.634880161699</v>
      </c>
      <c r="G52" s="18">
        <v>60885.149552463801</v>
      </c>
      <c r="H52" s="18">
        <v>63801.613408069497</v>
      </c>
      <c r="I52" s="18">
        <v>66796.410908760401</v>
      </c>
      <c r="J52" s="18">
        <v>69641.699250745805</v>
      </c>
      <c r="K52" s="18">
        <v>73838.015672212699</v>
      </c>
      <c r="L52" s="18">
        <v>77864.962834090402</v>
      </c>
      <c r="M52" s="18">
        <v>81605.382376043301</v>
      </c>
      <c r="N52" s="18">
        <v>86065.854862239998</v>
      </c>
      <c r="O52" s="18">
        <v>90797.590931789993</v>
      </c>
      <c r="P52" s="18">
        <v>96161.928391470006</v>
      </c>
      <c r="Q52" s="18">
        <v>101980.33936085</v>
      </c>
      <c r="R52" s="18">
        <v>107114.96293717</v>
      </c>
      <c r="S52" s="18">
        <v>112346.75518565001</v>
      </c>
      <c r="T52" s="18">
        <v>118183.27256065</v>
      </c>
      <c r="U52" s="18">
        <v>124289.17215841</v>
      </c>
      <c r="V52" s="18">
        <v>130596.32054435</v>
      </c>
      <c r="W52" s="18">
        <v>137243.08815461001</v>
      </c>
      <c r="X52" s="18">
        <v>134743.38106809999</v>
      </c>
      <c r="Y52" s="18">
        <v>141212.04289315001</v>
      </c>
      <c r="Z52" s="18">
        <v>148368.93910935</v>
      </c>
      <c r="AA52" s="18">
        <v>154980.81</v>
      </c>
      <c r="AB52" s="18">
        <v>162574.47</v>
      </c>
    </row>
    <row r="53" spans="2:28">
      <c r="B53" s="18" t="s">
        <v>25</v>
      </c>
      <c r="C53" s="18" t="s">
        <v>83</v>
      </c>
      <c r="D53" s="18">
        <v>47874.3268353616</v>
      </c>
      <c r="E53" s="18">
        <v>49914.7298493052</v>
      </c>
      <c r="F53" s="18">
        <v>55952.3547023012</v>
      </c>
      <c r="G53" s="18">
        <v>58701.923185633001</v>
      </c>
      <c r="H53" s="18">
        <v>61656.035072334897</v>
      </c>
      <c r="I53" s="18">
        <v>64773.997011625499</v>
      </c>
      <c r="J53" s="18">
        <v>67999.051033828393</v>
      </c>
      <c r="K53" s="18">
        <v>72087.036207943704</v>
      </c>
      <c r="L53" s="18">
        <v>76733.361459785199</v>
      </c>
      <c r="M53" s="18">
        <v>80789.395678983405</v>
      </c>
      <c r="N53" s="18">
        <v>85304.997955059996</v>
      </c>
      <c r="O53" s="18">
        <v>91252.128919089999</v>
      </c>
      <c r="P53" s="18">
        <v>96697.838669620003</v>
      </c>
      <c r="Q53" s="18">
        <v>101850.53635696</v>
      </c>
      <c r="R53" s="18">
        <v>106779.3976444</v>
      </c>
      <c r="S53" s="18">
        <v>110863.11650701999</v>
      </c>
      <c r="T53" s="18">
        <v>115743.57276046999</v>
      </c>
      <c r="U53" s="18">
        <v>121858.52339324</v>
      </c>
      <c r="V53" s="18">
        <v>128052.57794939</v>
      </c>
      <c r="W53" s="18">
        <v>133283.85188773001</v>
      </c>
      <c r="X53" s="18">
        <v>130864.31798024</v>
      </c>
      <c r="Y53" s="18">
        <v>135424.5919918</v>
      </c>
      <c r="Z53" s="18">
        <v>142339.22173058</v>
      </c>
      <c r="AA53" s="18">
        <v>149226.1</v>
      </c>
      <c r="AB53" s="18">
        <v>156769.95000000001</v>
      </c>
    </row>
    <row r="54" spans="2:28">
      <c r="B54" s="18" t="s">
        <v>26</v>
      </c>
      <c r="C54" s="18" t="s">
        <v>83</v>
      </c>
      <c r="D54" s="18">
        <v>33008.144367085901</v>
      </c>
      <c r="E54" s="18">
        <v>33983.136244555302</v>
      </c>
      <c r="F54" s="18">
        <v>35975.857320814102</v>
      </c>
      <c r="G54" s="18">
        <v>37742.4071677108</v>
      </c>
      <c r="H54" s="18">
        <v>39839.572064188702</v>
      </c>
      <c r="I54" s="18">
        <v>42188.962082528204</v>
      </c>
      <c r="J54" s="18">
        <v>44651.220317208201</v>
      </c>
      <c r="K54" s="18">
        <v>47359.016059504</v>
      </c>
      <c r="L54" s="18">
        <v>50280.758222263001</v>
      </c>
      <c r="M54" s="18">
        <v>53080.401156178101</v>
      </c>
      <c r="N54" s="18">
        <v>56531.023580939996</v>
      </c>
      <c r="O54" s="18">
        <v>60492.928434889996</v>
      </c>
      <c r="P54" s="18">
        <v>64649.165297129999</v>
      </c>
      <c r="Q54" s="18">
        <v>69410.986446640003</v>
      </c>
      <c r="R54" s="18">
        <v>73724.522724599999</v>
      </c>
      <c r="S54" s="18">
        <v>78890.96834865</v>
      </c>
      <c r="T54" s="18">
        <v>83900.239367860006</v>
      </c>
      <c r="U54" s="18">
        <v>89544.898297549997</v>
      </c>
      <c r="V54" s="18">
        <v>94566.24789051</v>
      </c>
      <c r="W54" s="18">
        <v>100349.28502414</v>
      </c>
      <c r="X54" s="18">
        <v>98933.61363747</v>
      </c>
      <c r="Y54" s="18">
        <v>102481.47433041999</v>
      </c>
      <c r="Z54" s="18">
        <v>109094.72068535999</v>
      </c>
      <c r="AA54" s="18">
        <v>113611.53</v>
      </c>
      <c r="AB54" s="18">
        <v>118682.32</v>
      </c>
    </row>
    <row r="55" spans="2:28">
      <c r="B55" s="18" t="s">
        <v>27</v>
      </c>
      <c r="C55" s="18" t="s">
        <v>83</v>
      </c>
      <c r="D55" s="18">
        <v>284816.53858671599</v>
      </c>
      <c r="E55" s="18">
        <v>298292.88091997401</v>
      </c>
      <c r="F55" s="18">
        <v>303482.60689570103</v>
      </c>
      <c r="G55" s="18">
        <v>309124.36072194402</v>
      </c>
      <c r="H55" s="18">
        <v>314537.23833027697</v>
      </c>
      <c r="I55" s="18">
        <v>324512.47193523101</v>
      </c>
      <c r="J55" s="18">
        <v>333752.80260878499</v>
      </c>
      <c r="K55" s="18">
        <v>339879.57057092199</v>
      </c>
      <c r="L55" s="18">
        <v>356532.13946364901</v>
      </c>
      <c r="M55" s="18">
        <v>364678.17094727303</v>
      </c>
      <c r="N55" s="18">
        <v>383293.00220871001</v>
      </c>
      <c r="O55" s="18">
        <v>407435.38338603999</v>
      </c>
      <c r="P55" s="18">
        <v>428877.71064392</v>
      </c>
      <c r="Q55" s="18">
        <v>438532.90673903999</v>
      </c>
      <c r="R55" s="18">
        <v>446029.04883898998</v>
      </c>
      <c r="S55" s="18">
        <v>440676.35622272</v>
      </c>
      <c r="T55" s="18">
        <v>439003.83238844998</v>
      </c>
      <c r="U55" s="18">
        <v>452741.90818068001</v>
      </c>
      <c r="V55" s="18">
        <v>464694.42672580999</v>
      </c>
      <c r="W55" s="18">
        <v>486523.18221395998</v>
      </c>
      <c r="X55" s="18">
        <v>472393.32937191002</v>
      </c>
      <c r="Y55" s="18">
        <v>484439.60613663</v>
      </c>
      <c r="Z55" s="18">
        <v>506158.90730507998</v>
      </c>
      <c r="AA55" s="18">
        <v>537630.01</v>
      </c>
      <c r="AB55" s="18">
        <v>570824</v>
      </c>
    </row>
    <row r="56" spans="2:28">
      <c r="B56" s="18" t="s">
        <v>46</v>
      </c>
      <c r="C56" s="18" t="s">
        <v>83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>
        <v>34918.578156199997</v>
      </c>
      <c r="O56" s="18">
        <v>37829.038986250001</v>
      </c>
      <c r="P56" s="18">
        <v>40768.541326350001</v>
      </c>
      <c r="Q56" s="18">
        <v>44091.699279779998</v>
      </c>
      <c r="R56" s="18">
        <v>47696.354646719999</v>
      </c>
      <c r="S56" s="18">
        <v>49315.745048080003</v>
      </c>
      <c r="T56" s="18">
        <v>51064.737347360002</v>
      </c>
      <c r="U56" s="18">
        <v>54537.307240050002</v>
      </c>
      <c r="V56" s="18">
        <v>57459.308920659998</v>
      </c>
      <c r="W56" s="18">
        <v>61417.792061849999</v>
      </c>
      <c r="X56" s="18">
        <v>60746.20884988</v>
      </c>
      <c r="Y56" s="18">
        <v>63168.433508210001</v>
      </c>
      <c r="Z56" s="18">
        <v>66528.387984400004</v>
      </c>
      <c r="AA56" s="18">
        <v>69831.48</v>
      </c>
      <c r="AB56" s="18">
        <v>73134.41</v>
      </c>
    </row>
    <row r="57" spans="2:28">
      <c r="B57" s="18" t="s">
        <v>28</v>
      </c>
      <c r="C57" s="18" t="s">
        <v>83</v>
      </c>
      <c r="D57" s="18">
        <v>18820.780657526</v>
      </c>
      <c r="E57" s="18">
        <v>21111.4089607075</v>
      </c>
      <c r="F57" s="18">
        <v>23782.013429909301</v>
      </c>
      <c r="G57" s="18">
        <v>26618.5587817468</v>
      </c>
      <c r="H57" s="18">
        <v>27492.344618700099</v>
      </c>
      <c r="I57" s="18">
        <v>28447.4070345857</v>
      </c>
      <c r="J57" s="18">
        <v>29579.774123639301</v>
      </c>
      <c r="K57" s="18">
        <v>30921.329050156299</v>
      </c>
      <c r="L57" s="18">
        <v>32343.768415510502</v>
      </c>
      <c r="M57" s="18">
        <v>33553.175377281703</v>
      </c>
      <c r="N57" s="18">
        <v>35561.904167870001</v>
      </c>
      <c r="O57" s="18">
        <v>38013.990299650002</v>
      </c>
      <c r="P57" s="18">
        <v>40104.906127889997</v>
      </c>
      <c r="Q57" s="18">
        <v>42190.857085720003</v>
      </c>
      <c r="R57" s="18">
        <v>44159.439524519999</v>
      </c>
      <c r="S57" s="18">
        <v>45962.303987439998</v>
      </c>
      <c r="T57" s="18">
        <v>47848.371793459999</v>
      </c>
      <c r="U57" s="18">
        <v>49985.153670209998</v>
      </c>
      <c r="V57" s="18">
        <v>52208.035498329999</v>
      </c>
      <c r="W57" s="18">
        <v>53941.901696879999</v>
      </c>
      <c r="X57" s="18">
        <v>52705.936485780003</v>
      </c>
      <c r="Y57" s="18">
        <v>55369.646314650003</v>
      </c>
      <c r="Z57" s="18">
        <v>57804.209282980002</v>
      </c>
      <c r="AA57" s="18">
        <v>60336.31</v>
      </c>
      <c r="AB57" s="18">
        <v>60801.87</v>
      </c>
    </row>
    <row r="58" spans="2:28">
      <c r="B58" s="18" t="s">
        <v>29</v>
      </c>
      <c r="C58" s="18" t="s">
        <v>83</v>
      </c>
      <c r="D58" s="18"/>
      <c r="E58" s="18"/>
      <c r="F58" s="18"/>
      <c r="G58" s="18">
        <v>72502.480968899705</v>
      </c>
      <c r="H58" s="18">
        <v>77195.764535470997</v>
      </c>
      <c r="I58" s="18">
        <v>82265.887413840101</v>
      </c>
      <c r="J58" s="18">
        <v>87842.524351739907</v>
      </c>
      <c r="K58" s="18">
        <v>93996.763971932494</v>
      </c>
      <c r="L58" s="18">
        <v>100227.11511438699</v>
      </c>
      <c r="M58" s="18">
        <v>103758.288485845</v>
      </c>
      <c r="N58" s="18">
        <v>111223.67160187</v>
      </c>
      <c r="O58" s="18">
        <v>118961.42326089001</v>
      </c>
      <c r="P58" s="18">
        <v>128034.96801894</v>
      </c>
      <c r="Q58" s="18">
        <v>137263.85122642</v>
      </c>
      <c r="R58" s="18">
        <v>146325.23458451999</v>
      </c>
      <c r="S58" s="18">
        <v>155131.35099887999</v>
      </c>
      <c r="T58" s="18">
        <v>162853.03899236</v>
      </c>
      <c r="U58" s="18">
        <v>166081.67571218999</v>
      </c>
      <c r="V58" s="18">
        <v>173498.75136105</v>
      </c>
      <c r="W58" s="18">
        <v>181877.67437299999</v>
      </c>
      <c r="X58" s="18">
        <v>174959.20544361</v>
      </c>
      <c r="Y58" s="18">
        <v>180952.44266196</v>
      </c>
      <c r="Z58" s="18">
        <v>190111.08763990001</v>
      </c>
      <c r="AA58" s="18">
        <v>199912.82</v>
      </c>
      <c r="AB58" s="18">
        <v>209939.07</v>
      </c>
    </row>
    <row r="59" spans="2:28">
      <c r="B59" s="18" t="s">
        <v>7</v>
      </c>
      <c r="C59" s="18" t="s">
        <v>83</v>
      </c>
      <c r="D59" s="18">
        <v>91243.844318663105</v>
      </c>
      <c r="E59" s="18">
        <v>94437.498252054094</v>
      </c>
      <c r="F59" s="18">
        <v>99746.429620331503</v>
      </c>
      <c r="G59" s="18">
        <v>105491.11784365</v>
      </c>
      <c r="H59" s="18">
        <v>110841.499634755</v>
      </c>
      <c r="I59" s="18">
        <v>115292.68390040701</v>
      </c>
      <c r="J59" s="18">
        <v>121034.764029706</v>
      </c>
      <c r="K59" s="18">
        <v>128225.659858606</v>
      </c>
      <c r="L59" s="18">
        <v>135082.14631245399</v>
      </c>
      <c r="M59" s="18">
        <v>142193.089166744</v>
      </c>
      <c r="N59" s="18">
        <v>150560.84170681</v>
      </c>
      <c r="O59" s="18">
        <v>160437.50137606999</v>
      </c>
      <c r="P59" s="18">
        <v>170769.20660958</v>
      </c>
      <c r="Q59" s="18">
        <v>180620.00769219999</v>
      </c>
      <c r="R59" s="18">
        <v>189797.49092302</v>
      </c>
      <c r="S59" s="18">
        <v>199536.91660709001</v>
      </c>
      <c r="T59" s="18">
        <v>209793.72829142999</v>
      </c>
      <c r="U59" s="18">
        <v>220626.09675621</v>
      </c>
      <c r="V59" s="18">
        <v>232165.98699177001</v>
      </c>
      <c r="W59" s="18">
        <v>244378.31315530001</v>
      </c>
      <c r="X59" s="18">
        <v>240319.59219962</v>
      </c>
      <c r="Y59" s="18">
        <v>246966.49114744001</v>
      </c>
      <c r="Z59" s="18">
        <v>257534.18964950001</v>
      </c>
      <c r="AA59" s="18">
        <v>269240.53999999998</v>
      </c>
      <c r="AB59" s="18">
        <v>281557.23</v>
      </c>
    </row>
    <row r="60" spans="2:28">
      <c r="B60" s="18" t="s">
        <v>13</v>
      </c>
      <c r="C60" s="18" t="s">
        <v>83</v>
      </c>
      <c r="D60" s="18">
        <v>12004.061395515801</v>
      </c>
      <c r="E60" s="18">
        <v>11999.861018703101</v>
      </c>
      <c r="F60" s="18">
        <v>12344.2485698001</v>
      </c>
      <c r="G60" s="18">
        <v>12876.2356128463</v>
      </c>
      <c r="H60" s="18">
        <v>13446.3901665587</v>
      </c>
      <c r="I60" s="18">
        <v>14128.0231110073</v>
      </c>
      <c r="J60" s="18">
        <v>14912.049018141901</v>
      </c>
      <c r="K60" s="18">
        <v>15750.2215276194</v>
      </c>
      <c r="L60" s="18">
        <v>16416.889331413899</v>
      </c>
      <c r="M60" s="18">
        <v>17309.277105740799</v>
      </c>
      <c r="N60" s="18">
        <v>18428.58454584</v>
      </c>
      <c r="O60" s="18">
        <v>19597.390138610001</v>
      </c>
      <c r="P60" s="18">
        <v>21000.078813510001</v>
      </c>
      <c r="Q60" s="18">
        <v>22100.937105190002</v>
      </c>
      <c r="R60" s="18">
        <v>23567.734258889999</v>
      </c>
      <c r="S60" s="18">
        <v>24859.196568560001</v>
      </c>
      <c r="T60" s="18">
        <v>26284.228020800001</v>
      </c>
      <c r="U60" s="18">
        <v>27814.053222949999</v>
      </c>
      <c r="V60" s="18">
        <v>29457.133274510001</v>
      </c>
      <c r="W60" s="18">
        <v>31049.449150929999</v>
      </c>
      <c r="X60" s="18">
        <v>30765.888775889998</v>
      </c>
      <c r="Y60" s="18">
        <v>31881.23002391</v>
      </c>
      <c r="Z60" s="18">
        <v>33575.071623290001</v>
      </c>
      <c r="AA60" s="18">
        <v>35322.910000000003</v>
      </c>
      <c r="AB60" s="18">
        <v>37210.06</v>
      </c>
    </row>
    <row r="61" spans="2:28">
      <c r="B61" s="18" t="s">
        <v>30</v>
      </c>
      <c r="C61" s="18" t="s">
        <v>83</v>
      </c>
      <c r="D61" s="18">
        <v>9277.8137918205302</v>
      </c>
      <c r="E61" s="18">
        <v>9432.8777301477203</v>
      </c>
      <c r="F61" s="18">
        <v>9663.2549128166502</v>
      </c>
      <c r="G61" s="18">
        <v>10032.742933425299</v>
      </c>
      <c r="H61" s="18">
        <v>10504.308337786601</v>
      </c>
      <c r="I61" s="18">
        <v>11040.8024164864</v>
      </c>
      <c r="J61" s="18">
        <v>11646.370507633599</v>
      </c>
      <c r="K61" s="18">
        <v>15944.263830940899</v>
      </c>
      <c r="L61" s="18">
        <v>14983.9118774053</v>
      </c>
      <c r="M61" s="18">
        <v>13880.1803615476</v>
      </c>
      <c r="N61" s="18">
        <v>14983.91187627</v>
      </c>
      <c r="O61" s="18">
        <v>16002.45201943</v>
      </c>
      <c r="P61" s="18">
        <v>17120.069793719998</v>
      </c>
      <c r="Q61" s="18">
        <v>18208.74324059</v>
      </c>
      <c r="R61" s="18">
        <v>19208.7608979</v>
      </c>
      <c r="S61" s="18">
        <v>20380.3039188</v>
      </c>
      <c r="T61" s="18">
        <v>21556.67978604</v>
      </c>
      <c r="U61" s="18">
        <v>23210.864648980001</v>
      </c>
      <c r="V61" s="18">
        <v>25034.082196219999</v>
      </c>
      <c r="W61" s="18">
        <v>26597.55286896</v>
      </c>
      <c r="X61" s="18">
        <v>28031.44388273</v>
      </c>
      <c r="Y61" s="18">
        <v>32738.670027</v>
      </c>
      <c r="Z61" s="18">
        <v>40248.382652</v>
      </c>
      <c r="AA61" s="18">
        <v>48929.43</v>
      </c>
      <c r="AB61" s="18">
        <v>55740.95</v>
      </c>
    </row>
    <row r="62" spans="2:28">
      <c r="B62" s="18" t="s">
        <v>31</v>
      </c>
      <c r="C62" s="18" t="s">
        <v>83</v>
      </c>
      <c r="D62" s="18">
        <v>42557.0281227706</v>
      </c>
      <c r="E62" s="18">
        <v>45712.892063957101</v>
      </c>
      <c r="F62" s="18">
        <v>47316.990186098199</v>
      </c>
      <c r="G62" s="18">
        <v>49164.479545557602</v>
      </c>
      <c r="H62" s="18">
        <v>52150.7835450645</v>
      </c>
      <c r="I62" s="18">
        <v>53043.778687120699</v>
      </c>
      <c r="J62" s="18">
        <v>54505.2625994876</v>
      </c>
      <c r="K62" s="18">
        <v>57185.0181562371</v>
      </c>
      <c r="L62" s="18">
        <v>58800.320080076599</v>
      </c>
      <c r="M62" s="18">
        <v>65936.744575431207</v>
      </c>
      <c r="N62" s="18">
        <v>70122.726129389994</v>
      </c>
      <c r="O62" s="18">
        <v>67379.140577040002</v>
      </c>
      <c r="P62" s="18">
        <v>66340.812441150003</v>
      </c>
      <c r="Q62" s="18">
        <v>69766.714413220005</v>
      </c>
      <c r="R62" s="18">
        <v>73372.963800419995</v>
      </c>
      <c r="S62" s="18">
        <v>89337.985798830006</v>
      </c>
      <c r="T62" s="18">
        <v>94524.289846939995</v>
      </c>
      <c r="U62" s="18">
        <v>94608.209353269995</v>
      </c>
      <c r="V62" s="18">
        <v>90349.129081999999</v>
      </c>
      <c r="W62" s="18">
        <v>93872.438647500006</v>
      </c>
      <c r="X62" s="18">
        <v>93288.873639340003</v>
      </c>
      <c r="Y62" s="18">
        <v>95437.86424209</v>
      </c>
      <c r="Z62" s="18">
        <v>102073.66118626999</v>
      </c>
      <c r="AA62" s="18">
        <v>103906.21</v>
      </c>
      <c r="AB62" s="18">
        <v>109415.25</v>
      </c>
    </row>
    <row r="63" spans="2:28">
      <c r="B63" s="18" t="s">
        <v>32</v>
      </c>
      <c r="C63" s="18" t="s">
        <v>83</v>
      </c>
      <c r="D63" s="18">
        <v>27435.0938534536</v>
      </c>
      <c r="E63" s="18">
        <v>28731.426556413899</v>
      </c>
      <c r="F63" s="18">
        <v>30132.490084298901</v>
      </c>
      <c r="G63" s="18">
        <v>31640.2134776292</v>
      </c>
      <c r="H63" s="18">
        <v>33328.718021621302</v>
      </c>
      <c r="I63" s="18">
        <v>34482.682641675499</v>
      </c>
      <c r="J63" s="18">
        <v>36234.160573673398</v>
      </c>
      <c r="K63" s="18">
        <v>38099.963651259997</v>
      </c>
      <c r="L63" s="18">
        <v>39942.924722408097</v>
      </c>
      <c r="M63" s="18">
        <v>41658.1957279704</v>
      </c>
      <c r="N63" s="18">
        <v>43846.608663320003</v>
      </c>
      <c r="O63" s="18">
        <v>46334.127523620002</v>
      </c>
      <c r="P63" s="18">
        <v>48863.187536110003</v>
      </c>
      <c r="Q63" s="18">
        <v>51505.188638090003</v>
      </c>
      <c r="R63" s="18">
        <v>54107.97423118</v>
      </c>
      <c r="S63" s="18">
        <v>56770.79325689</v>
      </c>
      <c r="T63" s="18">
        <v>59678.012411759999</v>
      </c>
      <c r="U63" s="18">
        <v>62725.41047011</v>
      </c>
      <c r="V63" s="18">
        <v>65929.193544599999</v>
      </c>
      <c r="W63" s="18">
        <v>69389.016377609994</v>
      </c>
      <c r="X63" s="18">
        <v>68809.6142769</v>
      </c>
      <c r="Y63" s="18">
        <v>70540.55664291</v>
      </c>
      <c r="Z63" s="18">
        <v>72711.277016849999</v>
      </c>
      <c r="AA63" s="18">
        <v>75246.66</v>
      </c>
      <c r="AB63" s="18">
        <v>78161.59</v>
      </c>
    </row>
    <row r="64" spans="2:28">
      <c r="B64" s="18" t="s">
        <v>14</v>
      </c>
      <c r="C64" s="18" t="s">
        <v>83</v>
      </c>
      <c r="D64" s="18">
        <v>110227.629514336</v>
      </c>
      <c r="E64" s="18">
        <v>119310.27922717</v>
      </c>
      <c r="F64" s="18">
        <v>104272.72156753299</v>
      </c>
      <c r="G64" s="18">
        <v>103978.318814217</v>
      </c>
      <c r="H64" s="18">
        <v>80548.160692155405</v>
      </c>
      <c r="I64" s="18">
        <v>109863.857060864</v>
      </c>
      <c r="J64" s="18">
        <v>91030.535231671194</v>
      </c>
      <c r="K64" s="18">
        <v>94979.532156824003</v>
      </c>
      <c r="L64" s="18">
        <v>93651.5418356109</v>
      </c>
      <c r="M64" s="18">
        <v>114460.655710266</v>
      </c>
      <c r="N64" s="18">
        <v>110808.17661209</v>
      </c>
      <c r="O64" s="18">
        <v>106066.72339046</v>
      </c>
      <c r="P64" s="18">
        <v>107890.94259440999</v>
      </c>
      <c r="Q64" s="18">
        <v>117118.81889753</v>
      </c>
      <c r="R64" s="18">
        <v>121391.23394744001</v>
      </c>
      <c r="S64" s="18">
        <v>130311.60486250999</v>
      </c>
      <c r="T64" s="18">
        <v>142224.9306734</v>
      </c>
      <c r="U64" s="18">
        <v>148818.2898576</v>
      </c>
      <c r="V64" s="18">
        <v>159711.85258502999</v>
      </c>
      <c r="W64" s="18">
        <v>134565.88856794001</v>
      </c>
      <c r="X64" s="18">
        <v>137787.28678868999</v>
      </c>
      <c r="Y64" s="18">
        <v>158675.15137044</v>
      </c>
      <c r="Z64" s="18">
        <v>298258.96787567995</v>
      </c>
      <c r="AA64" s="18">
        <v>181926.24</v>
      </c>
      <c r="AB64" s="18">
        <v>189919.90000000002</v>
      </c>
    </row>
    <row r="65" spans="2:29">
      <c r="B65" s="18" t="s">
        <v>33</v>
      </c>
      <c r="C65" s="18" t="s">
        <v>83</v>
      </c>
      <c r="D65" s="18"/>
      <c r="E65" s="18"/>
      <c r="F65" s="18">
        <v>18987.335720098799</v>
      </c>
      <c r="G65" s="18">
        <v>20445.293797451901</v>
      </c>
      <c r="H65" s="18">
        <v>21955.6591306154</v>
      </c>
      <c r="I65" s="18">
        <v>23449.588239114299</v>
      </c>
      <c r="J65" s="18">
        <v>24516.926624125699</v>
      </c>
      <c r="K65" s="18">
        <v>26219.824722150999</v>
      </c>
      <c r="L65" s="18">
        <v>28275.291366682301</v>
      </c>
      <c r="M65" s="18">
        <v>32196.342749763</v>
      </c>
      <c r="N65" s="18">
        <v>41361.671920000001</v>
      </c>
      <c r="O65" s="18">
        <v>42867.187119419999</v>
      </c>
      <c r="P65" s="18">
        <v>44423.335147049998</v>
      </c>
      <c r="Q65" s="18">
        <v>47694.23495772</v>
      </c>
      <c r="R65" s="18">
        <v>50259.907956299998</v>
      </c>
      <c r="S65" s="18">
        <v>52346.485935240002</v>
      </c>
      <c r="T65" s="18">
        <v>54711.282179529997</v>
      </c>
      <c r="U65" s="18">
        <v>56907.958542920001</v>
      </c>
      <c r="V65" s="18">
        <v>60465.521384940002</v>
      </c>
      <c r="W65" s="18">
        <v>62074.519170599997</v>
      </c>
      <c r="X65" s="18">
        <v>61604.125494929998</v>
      </c>
      <c r="Y65" s="18">
        <v>61289.39990982</v>
      </c>
      <c r="Z65" s="18">
        <v>62530.525547719997</v>
      </c>
      <c r="AA65" s="18">
        <v>64975.009999999995</v>
      </c>
      <c r="AB65" s="18">
        <v>74359.959999999992</v>
      </c>
    </row>
    <row r="66" spans="2:29">
      <c r="B66" s="18" t="s">
        <v>4</v>
      </c>
      <c r="C66" s="18" t="s">
        <v>83</v>
      </c>
      <c r="D66" s="18">
        <v>376739.46964962</v>
      </c>
      <c r="E66" s="18">
        <v>375243.33387972001</v>
      </c>
      <c r="F66" s="18">
        <v>385146.72276498901</v>
      </c>
      <c r="G66" s="18">
        <v>290544.124766914</v>
      </c>
      <c r="H66" s="18">
        <v>299047.42857573502</v>
      </c>
      <c r="I66" s="18">
        <v>315232.42654732103</v>
      </c>
      <c r="J66" s="18">
        <v>331466.77633519599</v>
      </c>
      <c r="K66" s="18">
        <v>342767.58940616302</v>
      </c>
      <c r="L66" s="18">
        <v>362138.225009799</v>
      </c>
      <c r="M66" s="18">
        <v>372876.31199134898</v>
      </c>
      <c r="N66" s="18">
        <v>388578.22696073999</v>
      </c>
      <c r="O66" s="18">
        <v>410215.84020599001</v>
      </c>
      <c r="P66" s="18">
        <v>425625.99850734998</v>
      </c>
      <c r="Q66" s="18">
        <v>436187.50741601002</v>
      </c>
      <c r="R66" s="18">
        <v>447986.78247024998</v>
      </c>
      <c r="S66" s="18">
        <v>448991.96351888002</v>
      </c>
      <c r="T66" s="18">
        <v>458769.34006752999</v>
      </c>
      <c r="U66" s="18">
        <v>470983.51159980003</v>
      </c>
      <c r="V66" s="18">
        <v>482064.62897994003</v>
      </c>
      <c r="W66" s="18">
        <v>495607.05459697999</v>
      </c>
      <c r="X66" s="18">
        <v>489995.75046423002</v>
      </c>
      <c r="Y66" s="18">
        <v>506471.90715107002</v>
      </c>
      <c r="Z66" s="18">
        <v>529532.97939134995</v>
      </c>
      <c r="AA66" s="18">
        <v>551828.47999999998</v>
      </c>
      <c r="AB66" s="18">
        <v>571233.59</v>
      </c>
    </row>
    <row r="67" spans="2:29">
      <c r="B67" s="18" t="s">
        <v>34</v>
      </c>
      <c r="C67" s="18" t="s">
        <v>83</v>
      </c>
      <c r="D67" s="18"/>
      <c r="E67" s="18"/>
      <c r="F67" s="18"/>
      <c r="G67" s="18"/>
      <c r="H67" s="18"/>
      <c r="I67" s="18">
        <v>11254.051975222301</v>
      </c>
      <c r="J67" s="18">
        <v>12030.8218048326</v>
      </c>
      <c r="K67" s="18">
        <v>12924.366551384101</v>
      </c>
      <c r="L67" s="18">
        <v>14484.520451165999</v>
      </c>
      <c r="M67" s="18">
        <v>15357.390756847501</v>
      </c>
      <c r="N67" s="18">
        <v>17183.831830849998</v>
      </c>
      <c r="O67" s="18">
        <v>19027.504487490001</v>
      </c>
      <c r="P67" s="18">
        <v>20786.885756610001</v>
      </c>
      <c r="Q67" s="18">
        <v>22227.392552189998</v>
      </c>
      <c r="R67" s="18">
        <v>24195.65499721</v>
      </c>
      <c r="S67" s="18">
        <v>25964.432135049999</v>
      </c>
      <c r="T67" s="18">
        <v>27524.767062700001</v>
      </c>
      <c r="U67" s="18">
        <v>29282.487061039999</v>
      </c>
      <c r="V67" s="18">
        <v>31114.14270787</v>
      </c>
      <c r="W67" s="18">
        <v>32843.808455840001</v>
      </c>
      <c r="X67" s="18">
        <v>32074.01893007</v>
      </c>
      <c r="Y67" s="18">
        <v>32898.297968209998</v>
      </c>
      <c r="Z67" s="18">
        <v>33643.018774279997</v>
      </c>
      <c r="AA67" s="18">
        <v>35402.49</v>
      </c>
      <c r="AB67" s="18">
        <v>37087.410000000003</v>
      </c>
    </row>
    <row r="68" spans="2:29">
      <c r="B68" s="18" t="s">
        <v>35</v>
      </c>
      <c r="C68" s="18" t="s">
        <v>83</v>
      </c>
      <c r="D68" s="18">
        <v>103190.000679818</v>
      </c>
      <c r="E68" s="18">
        <v>108423.41331152301</v>
      </c>
      <c r="F68" s="18">
        <v>112857.31191133799</v>
      </c>
      <c r="G68" s="18">
        <v>118778.29800731401</v>
      </c>
      <c r="H68" s="18">
        <v>125087.19336628</v>
      </c>
      <c r="I68" s="18">
        <v>122170.255852007</v>
      </c>
      <c r="J68" s="18">
        <v>130374.55483561401</v>
      </c>
      <c r="K68" s="18">
        <v>138642.100222484</v>
      </c>
      <c r="L68" s="18">
        <v>149434.277020643</v>
      </c>
      <c r="M68" s="18">
        <v>158746.71514046</v>
      </c>
      <c r="N68" s="18">
        <v>171740.74409969</v>
      </c>
      <c r="O68" s="18">
        <v>185708.47411154999</v>
      </c>
      <c r="P68" s="18">
        <v>202184.58770060001</v>
      </c>
      <c r="Q68" s="18">
        <v>217589.13209701001</v>
      </c>
      <c r="R68" s="18">
        <v>233988.050609</v>
      </c>
      <c r="S68" s="18">
        <v>250802.99305429999</v>
      </c>
      <c r="T68" s="18">
        <v>269401.31345048</v>
      </c>
      <c r="U68" s="18">
        <v>288814.17111205001</v>
      </c>
      <c r="V68" s="18">
        <v>309156.19323397003</v>
      </c>
      <c r="W68" s="18">
        <v>330506.37625859003</v>
      </c>
      <c r="X68" s="18">
        <v>328154.57191111997</v>
      </c>
      <c r="Y68" s="18">
        <v>343395.40859796997</v>
      </c>
      <c r="Z68" s="18">
        <v>360912.81940538</v>
      </c>
      <c r="AA68" s="18">
        <v>377207.79</v>
      </c>
      <c r="AB68" s="18">
        <v>396141.74</v>
      </c>
    </row>
    <row r="69" spans="2:29">
      <c r="B69" s="18" t="s">
        <v>36</v>
      </c>
      <c r="C69" s="18" t="s">
        <v>83</v>
      </c>
      <c r="D69" s="18">
        <v>25397.7477229865</v>
      </c>
      <c r="E69" s="18">
        <v>26691.836245911702</v>
      </c>
      <c r="F69" s="18">
        <v>28190.752182436401</v>
      </c>
      <c r="G69" s="18">
        <v>29941.995148960799</v>
      </c>
      <c r="H69" s="18">
        <v>32081.8094086985</v>
      </c>
      <c r="I69" s="18">
        <v>34509.562725378601</v>
      </c>
      <c r="J69" s="18">
        <v>37209.060595759896</v>
      </c>
      <c r="K69" s="18">
        <v>40995.8633289012</v>
      </c>
      <c r="L69" s="18">
        <v>44185.650560130904</v>
      </c>
      <c r="M69" s="18">
        <v>47592.394846924697</v>
      </c>
      <c r="N69" s="18">
        <v>51752.070612590003</v>
      </c>
      <c r="O69" s="18">
        <v>56833.828645330002</v>
      </c>
      <c r="P69" s="18">
        <v>62249.529248639999</v>
      </c>
      <c r="Q69" s="18">
        <v>68219.319057770001</v>
      </c>
      <c r="R69" s="18">
        <v>71677.530844260007</v>
      </c>
      <c r="S69" s="18">
        <v>82787.201817790003</v>
      </c>
      <c r="T69" s="18">
        <v>91014.564878339996</v>
      </c>
      <c r="U69" s="18">
        <v>97474.859096810003</v>
      </c>
      <c r="V69" s="18">
        <v>117555.83364</v>
      </c>
      <c r="W69" s="18">
        <v>127935.05653</v>
      </c>
      <c r="X69" s="18">
        <v>134152.6948</v>
      </c>
      <c r="Y69" s="18">
        <v>149815.85604000001</v>
      </c>
      <c r="Z69" s="18">
        <v>172624.82475999999</v>
      </c>
      <c r="AA69" s="18">
        <v>193181.37</v>
      </c>
      <c r="AB69" s="18">
        <v>212281.54</v>
      </c>
    </row>
    <row r="70" spans="2:29">
      <c r="B70" s="18" t="s">
        <v>37</v>
      </c>
      <c r="C70" s="18" t="s">
        <v>83</v>
      </c>
      <c r="D70" s="18">
        <v>23983.3623091013</v>
      </c>
      <c r="E70" s="18">
        <v>25185.023805814399</v>
      </c>
      <c r="F70" s="18">
        <v>26863.2367254608</v>
      </c>
      <c r="G70" s="18">
        <v>28896.652249514002</v>
      </c>
      <c r="H70" s="18">
        <v>31066.780156597499</v>
      </c>
      <c r="I70" s="18">
        <v>33337.241376637299</v>
      </c>
      <c r="J70" s="18">
        <v>35897.588372171602</v>
      </c>
      <c r="K70" s="18">
        <v>38756.618021536196</v>
      </c>
      <c r="L70" s="18">
        <v>41576.094591067798</v>
      </c>
      <c r="M70" s="18">
        <v>44724.191791488302</v>
      </c>
      <c r="N70" s="18">
        <v>48401.152371819997</v>
      </c>
      <c r="O70" s="18">
        <v>53546.689523050001</v>
      </c>
      <c r="P70" s="18">
        <v>59785.399055989998</v>
      </c>
      <c r="Q70" s="18">
        <v>64268.714308039998</v>
      </c>
      <c r="R70" s="18">
        <v>68291.784519020002</v>
      </c>
      <c r="S70" s="18">
        <v>72993.327935060006</v>
      </c>
      <c r="T70" s="18">
        <v>77745.512418629994</v>
      </c>
      <c r="U70" s="18">
        <v>83001.687013219998</v>
      </c>
      <c r="V70" s="18">
        <v>88310.047915489995</v>
      </c>
      <c r="W70" s="18">
        <v>94053.524007440006</v>
      </c>
      <c r="X70" s="18">
        <v>93445.720366430003</v>
      </c>
      <c r="Y70" s="18">
        <v>97275.324713669994</v>
      </c>
      <c r="Z70" s="18">
        <v>102656.42662102</v>
      </c>
      <c r="AA70" s="18">
        <v>108152.98</v>
      </c>
      <c r="AB70" s="18">
        <v>113989.49</v>
      </c>
    </row>
    <row r="71" spans="2:29">
      <c r="B71" s="18" t="s">
        <v>38</v>
      </c>
      <c r="C71" s="18" t="s">
        <v>83</v>
      </c>
      <c r="D71" s="18">
        <v>29734.554179829898</v>
      </c>
      <c r="E71" s="18">
        <v>30759.460653790102</v>
      </c>
      <c r="F71" s="18">
        <v>31779.675209051598</v>
      </c>
      <c r="G71" s="18">
        <v>32796.635457429198</v>
      </c>
      <c r="H71" s="18">
        <v>34194.613356796901</v>
      </c>
      <c r="I71" s="18">
        <v>35869.369652759298</v>
      </c>
      <c r="J71" s="18">
        <v>37919.583355483701</v>
      </c>
      <c r="K71" s="18">
        <v>40371.851704861801</v>
      </c>
      <c r="L71" s="18">
        <v>44756.178468609702</v>
      </c>
      <c r="M71" s="18">
        <v>48267.395187693903</v>
      </c>
      <c r="N71" s="18">
        <v>51721.334141109997</v>
      </c>
      <c r="O71" s="18">
        <v>54910.897493069999</v>
      </c>
      <c r="P71" s="18">
        <v>58677.586673860002</v>
      </c>
      <c r="Q71" s="18">
        <v>62422.498490179998</v>
      </c>
      <c r="R71" s="18">
        <v>66360.757018770004</v>
      </c>
      <c r="S71" s="18">
        <v>70425.33021955</v>
      </c>
      <c r="T71" s="18">
        <v>74764.660480909995</v>
      </c>
      <c r="U71" s="18">
        <v>79484.025023979993</v>
      </c>
      <c r="V71" s="18">
        <v>84249.720168309999</v>
      </c>
      <c r="W71" s="18">
        <v>89009.264777129996</v>
      </c>
      <c r="X71" s="18">
        <v>88126.37398602</v>
      </c>
      <c r="Y71" s="18">
        <v>91790.692024510005</v>
      </c>
      <c r="Z71" s="18">
        <v>96768.151890130001</v>
      </c>
      <c r="AA71" s="18">
        <v>102070.48</v>
      </c>
      <c r="AB71" s="18">
        <v>107575.01</v>
      </c>
    </row>
    <row r="72" spans="2:29">
      <c r="B72" s="18" t="s">
        <v>39</v>
      </c>
      <c r="C72" s="18" t="s">
        <v>83</v>
      </c>
      <c r="D72" s="18">
        <v>61854.940640563102</v>
      </c>
      <c r="E72" s="18">
        <v>64118.831812823097</v>
      </c>
      <c r="F72" s="18">
        <v>67126.005455593506</v>
      </c>
      <c r="G72" s="18">
        <v>70656.832643198606</v>
      </c>
      <c r="H72" s="18">
        <v>74524.804181199506</v>
      </c>
      <c r="I72" s="18">
        <v>78798.093227406804</v>
      </c>
      <c r="J72" s="18">
        <v>83636.491947360395</v>
      </c>
      <c r="K72" s="18">
        <v>88941.199202361706</v>
      </c>
      <c r="L72" s="18">
        <v>95058.331297878496</v>
      </c>
      <c r="M72" s="18">
        <v>99129.655552507305</v>
      </c>
      <c r="N72" s="18">
        <v>105017.73945496</v>
      </c>
      <c r="O72" s="18">
        <v>111679.49297243</v>
      </c>
      <c r="P72" s="18">
        <v>118724.42466588999</v>
      </c>
      <c r="Q72" s="18">
        <v>125940.63426964</v>
      </c>
      <c r="R72" s="18">
        <v>133340.83644166999</v>
      </c>
      <c r="S72" s="18">
        <v>140719.47419497001</v>
      </c>
      <c r="T72" s="18">
        <v>148134.24388579</v>
      </c>
      <c r="U72" s="18">
        <v>155984.36412764</v>
      </c>
      <c r="V72" s="18">
        <v>163996.18904047</v>
      </c>
      <c r="W72" s="18">
        <v>172205.57130047001</v>
      </c>
      <c r="X72" s="18">
        <v>169426.61410347</v>
      </c>
      <c r="Y72" s="18">
        <v>174999.89195257</v>
      </c>
      <c r="Z72" s="18">
        <v>182628.34250716999</v>
      </c>
      <c r="AA72" s="18">
        <v>191069.34</v>
      </c>
      <c r="AB72" s="18">
        <v>199419.97</v>
      </c>
    </row>
    <row r="73" spans="2:29">
      <c r="B73" s="18" t="s">
        <v>40</v>
      </c>
      <c r="C73" s="18" t="s">
        <v>83</v>
      </c>
      <c r="D73" s="18">
        <v>125529.235933431</v>
      </c>
      <c r="E73" s="18">
        <v>128627.018516368</v>
      </c>
      <c r="F73" s="18">
        <v>132594.35990895401</v>
      </c>
      <c r="G73" s="18">
        <v>137467.91374481801</v>
      </c>
      <c r="H73" s="18">
        <v>143838.875107567</v>
      </c>
      <c r="I73" s="18">
        <v>150793.60473084301</v>
      </c>
      <c r="J73" s="18">
        <v>158635.99667733299</v>
      </c>
      <c r="K73" s="18">
        <v>167894.00970962</v>
      </c>
      <c r="L73" s="18">
        <v>176410.950648097</v>
      </c>
      <c r="M73" s="18">
        <v>183664.475222551</v>
      </c>
      <c r="N73" s="18">
        <v>194012.97372025999</v>
      </c>
      <c r="O73" s="18">
        <v>206360.69935949999</v>
      </c>
      <c r="P73" s="18">
        <v>220459.19828633999</v>
      </c>
      <c r="Q73" s="18">
        <v>232175.04783085</v>
      </c>
      <c r="R73" s="18">
        <v>243297.77150442</v>
      </c>
      <c r="S73" s="18">
        <v>254044.87563463001</v>
      </c>
      <c r="T73" s="18">
        <v>266857.4007611</v>
      </c>
      <c r="U73" s="18">
        <v>281571.01305592997</v>
      </c>
      <c r="V73" s="18">
        <v>298484.06840064999</v>
      </c>
      <c r="W73" s="18">
        <v>315464.75237725</v>
      </c>
      <c r="X73" s="18">
        <v>315129.21665535</v>
      </c>
      <c r="Y73" s="18">
        <v>326405.18490211997</v>
      </c>
      <c r="Z73" s="18">
        <v>343503.61652191001</v>
      </c>
      <c r="AA73" s="18">
        <v>360967.45</v>
      </c>
      <c r="AB73" s="18">
        <v>379119.64</v>
      </c>
    </row>
    <row r="74" spans="2:29">
      <c r="B74" s="18" t="s">
        <v>41</v>
      </c>
      <c r="C74" s="18" t="s">
        <v>83</v>
      </c>
      <c r="D74" s="18">
        <v>192858.13013152999</v>
      </c>
      <c r="E74" s="18">
        <v>200539.21967166301</v>
      </c>
      <c r="F74" s="18">
        <v>209688.718719372</v>
      </c>
      <c r="G74" s="18">
        <v>219774.383203112</v>
      </c>
      <c r="H74" s="18">
        <v>232389.14858693001</v>
      </c>
      <c r="I74" s="18">
        <v>245130.81240132501</v>
      </c>
      <c r="J74" s="18">
        <v>260328.77143502299</v>
      </c>
      <c r="K74" s="18">
        <v>278302.340494617</v>
      </c>
      <c r="L74" s="18">
        <v>296095.23205991701</v>
      </c>
      <c r="M74" s="18">
        <v>311118.20936878101</v>
      </c>
      <c r="N74" s="18">
        <v>331085.23747122998</v>
      </c>
      <c r="O74" s="18">
        <v>353147.59120129002</v>
      </c>
      <c r="P74" s="18">
        <v>375924.13945150998</v>
      </c>
      <c r="Q74" s="18">
        <v>398727.14280053001</v>
      </c>
      <c r="R74" s="18">
        <v>419573.30867452</v>
      </c>
      <c r="S74" s="18">
        <v>440955.85246604</v>
      </c>
      <c r="T74" s="18">
        <v>463775.46485554997</v>
      </c>
      <c r="U74" s="18">
        <v>487531.23186826002</v>
      </c>
      <c r="V74" s="18">
        <v>512762.62690277002</v>
      </c>
      <c r="W74" s="18">
        <v>539513.84562509996</v>
      </c>
      <c r="X74" s="18">
        <v>533746.35825687996</v>
      </c>
      <c r="Y74" s="18">
        <v>547651.82466996997</v>
      </c>
      <c r="Z74" s="18">
        <v>573528.76618999999</v>
      </c>
      <c r="AA74" s="18">
        <v>602235.93999999994</v>
      </c>
      <c r="AB74" s="18">
        <v>632534.73</v>
      </c>
    </row>
    <row r="76" spans="2:29">
      <c r="B76" s="20" t="s">
        <v>129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2:29">
      <c r="AC77" s="1"/>
    </row>
    <row r="78" spans="2:29">
      <c r="B78" s="18" t="s">
        <v>3</v>
      </c>
      <c r="C78" s="18" t="s">
        <v>88</v>
      </c>
      <c r="D78" s="18">
        <f>D116*$E155</f>
        <v>47068.681165109301</v>
      </c>
      <c r="E78" s="18">
        <f t="shared" ref="E78:M78" si="39">E116*$E155</f>
        <v>52728.690665658251</v>
      </c>
      <c r="F78" s="18">
        <f t="shared" si="39"/>
        <v>10003.399951374129</v>
      </c>
      <c r="G78" s="18">
        <f t="shared" si="39"/>
        <v>19050.71352588779</v>
      </c>
      <c r="H78" s="18">
        <f t="shared" si="39"/>
        <v>12248.278168092082</v>
      </c>
      <c r="I78" s="18">
        <f t="shared" si="39"/>
        <v>96285.815569450686</v>
      </c>
      <c r="J78" s="18">
        <f t="shared" si="39"/>
        <v>7660.7526322410777</v>
      </c>
      <c r="K78" s="18">
        <f t="shared" si="39"/>
        <v>46901.499401261426</v>
      </c>
      <c r="L78" s="18">
        <f t="shared" si="39"/>
        <v>53914.945663765873</v>
      </c>
      <c r="M78" s="18">
        <f t="shared" si="39"/>
        <v>56505.58949495665</v>
      </c>
      <c r="N78" s="1">
        <v>54431.947910000003</v>
      </c>
      <c r="O78" s="1">
        <v>61765.896860000001</v>
      </c>
      <c r="P78" s="1">
        <v>69320.800220000005</v>
      </c>
      <c r="Q78" s="1">
        <v>56583.796950000004</v>
      </c>
      <c r="R78" s="1">
        <v>57795.662389999998</v>
      </c>
      <c r="S78" s="1">
        <v>60839.482770000002</v>
      </c>
      <c r="T78" s="1">
        <v>58843.342920000003</v>
      </c>
      <c r="U78" s="1">
        <v>60748.801469999999</v>
      </c>
      <c r="V78" s="1">
        <v>61855.801950000001</v>
      </c>
      <c r="W78" s="1">
        <v>63730.356720000003</v>
      </c>
      <c r="X78" s="1">
        <v>63339.22681</v>
      </c>
      <c r="Y78" s="1">
        <v>64572.075579999997</v>
      </c>
      <c r="Z78" s="1">
        <v>74111.39</v>
      </c>
      <c r="AA78" s="1">
        <v>82596.23</v>
      </c>
      <c r="AB78" s="1">
        <v>89266.36</v>
      </c>
      <c r="AC78" s="1"/>
    </row>
    <row r="79" spans="2:29">
      <c r="B79" s="18" t="s">
        <v>11</v>
      </c>
      <c r="C79" s="18" t="s">
        <v>88</v>
      </c>
      <c r="D79" s="18">
        <f t="shared" ref="D79:M79" si="40">D117*$E156</f>
        <v>2809.8628619747892</v>
      </c>
      <c r="E79" s="18">
        <f t="shared" si="40"/>
        <v>2815.6951168379155</v>
      </c>
      <c r="F79" s="18">
        <f t="shared" si="40"/>
        <v>2914.3414021460835</v>
      </c>
      <c r="G79" s="18">
        <f t="shared" si="40"/>
        <v>3058.1912204158521</v>
      </c>
      <c r="H79" s="18">
        <f t="shared" si="40"/>
        <v>5457.7953757087007</v>
      </c>
      <c r="I79" s="18">
        <f t="shared" si="40"/>
        <v>6325.6776341407685</v>
      </c>
      <c r="J79" s="18">
        <f t="shared" si="40"/>
        <v>5669.4350164188827</v>
      </c>
      <c r="K79" s="18">
        <f t="shared" si="40"/>
        <v>7383.0606094537588</v>
      </c>
      <c r="L79" s="18">
        <f t="shared" si="40"/>
        <v>10073.3074058191</v>
      </c>
      <c r="M79" s="18">
        <f t="shared" si="40"/>
        <v>11970.651705754337</v>
      </c>
      <c r="N79" s="1">
        <v>13334.40595</v>
      </c>
      <c r="O79" s="1">
        <v>11705.052</v>
      </c>
      <c r="P79" s="1">
        <v>6025.5787899999996</v>
      </c>
      <c r="Q79" s="1">
        <v>8053.8849899999996</v>
      </c>
      <c r="R79" s="1">
        <v>10276.550999999999</v>
      </c>
      <c r="S79" s="1">
        <v>9263.6550299999999</v>
      </c>
      <c r="T79" s="1">
        <v>11369.062970000001</v>
      </c>
      <c r="U79" s="1">
        <v>13317.176670000001</v>
      </c>
      <c r="V79" s="1">
        <v>16568.49135</v>
      </c>
      <c r="W79" s="1">
        <v>14315.440909999999</v>
      </c>
      <c r="X79" s="1">
        <v>3123.4214200000001</v>
      </c>
      <c r="Y79" s="1">
        <v>549.11828000000003</v>
      </c>
      <c r="Z79" s="1">
        <v>4036.9927400000001</v>
      </c>
      <c r="AA79" s="1">
        <v>8027.55</v>
      </c>
      <c r="AB79" s="1">
        <v>9109.7999999999993</v>
      </c>
      <c r="AC79" s="1"/>
    </row>
    <row r="80" spans="2:29">
      <c r="B80" s="18" t="s">
        <v>10</v>
      </c>
      <c r="C80" s="18" t="s">
        <v>88</v>
      </c>
      <c r="D80" s="18">
        <f t="shared" ref="D80:M80" si="41">D118*$E157</f>
        <v>100665.84593187264</v>
      </c>
      <c r="E80" s="18">
        <f t="shared" si="41"/>
        <v>98707.849889158431</v>
      </c>
      <c r="F80" s="18">
        <f t="shared" si="41"/>
        <v>109587.3022690362</v>
      </c>
      <c r="G80" s="18">
        <f t="shared" si="41"/>
        <v>121482.56792764524</v>
      </c>
      <c r="H80" s="18">
        <f t="shared" si="41"/>
        <v>136147.43554214592</v>
      </c>
      <c r="I80" s="18">
        <f t="shared" si="41"/>
        <v>149117.05650811843</v>
      </c>
      <c r="J80" s="18">
        <f t="shared" si="41"/>
        <v>166071.37165045043</v>
      </c>
      <c r="K80" s="18">
        <f t="shared" si="41"/>
        <v>207069.16540973217</v>
      </c>
      <c r="L80" s="18">
        <f t="shared" si="41"/>
        <v>229041.7368044522</v>
      </c>
      <c r="M80" s="18">
        <f t="shared" si="41"/>
        <v>194922.84793157593</v>
      </c>
      <c r="N80" s="1">
        <v>225555.16649999999</v>
      </c>
      <c r="O80" s="1">
        <v>239024.93427</v>
      </c>
      <c r="P80" s="1">
        <v>263272.89588000003</v>
      </c>
      <c r="Q80" s="1">
        <v>249609.37508999999</v>
      </c>
      <c r="R80" s="1">
        <v>257090.99742999999</v>
      </c>
      <c r="S80" s="1">
        <v>265819.42118</v>
      </c>
      <c r="T80" s="1">
        <v>271158.55871999997</v>
      </c>
      <c r="U80" s="1">
        <v>303354.78107000003</v>
      </c>
      <c r="V80" s="1">
        <v>310806.38462999999</v>
      </c>
      <c r="W80" s="1">
        <v>306020.47528000001</v>
      </c>
      <c r="X80" s="1">
        <v>296049.51598000003</v>
      </c>
      <c r="Y80" s="1">
        <v>321165.00203999999</v>
      </c>
      <c r="Z80" s="1">
        <v>342844.84</v>
      </c>
      <c r="AA80" s="1">
        <v>340277.99</v>
      </c>
      <c r="AB80" s="1">
        <v>369862.47</v>
      </c>
      <c r="AC80" s="1"/>
    </row>
    <row r="81" spans="2:29">
      <c r="B81" s="18" t="s">
        <v>6</v>
      </c>
      <c r="C81" s="18" t="s">
        <v>88</v>
      </c>
      <c r="D81" s="18">
        <f t="shared" ref="D81:M81" si="42">D119*$E158</f>
        <v>10043.580642494489</v>
      </c>
      <c r="E81" s="18">
        <f t="shared" si="42"/>
        <v>9977.3847976287452</v>
      </c>
      <c r="F81" s="18">
        <f t="shared" si="42"/>
        <v>10230.90516689439</v>
      </c>
      <c r="G81" s="18">
        <f t="shared" si="42"/>
        <v>10488.29847891319</v>
      </c>
      <c r="H81" s="18">
        <f t="shared" si="42"/>
        <v>11688.341697197722</v>
      </c>
      <c r="I81" s="18">
        <f t="shared" si="42"/>
        <v>13281.511322542119</v>
      </c>
      <c r="J81" s="18">
        <f t="shared" si="42"/>
        <v>13983.841435940925</v>
      </c>
      <c r="K81" s="18">
        <f t="shared" si="42"/>
        <v>15409.392835990835</v>
      </c>
      <c r="L81" s="18">
        <f t="shared" si="42"/>
        <v>17107.396726420473</v>
      </c>
      <c r="M81" s="18">
        <f t="shared" si="42"/>
        <v>16858.244708132945</v>
      </c>
      <c r="N81" s="1">
        <v>18092.749589999999</v>
      </c>
      <c r="O81" s="1">
        <v>20334.38567</v>
      </c>
      <c r="P81" s="1">
        <v>22407.652050000001</v>
      </c>
      <c r="Q81" s="1">
        <v>22916.774000000001</v>
      </c>
      <c r="R81" s="1">
        <v>24205.030569999999</v>
      </c>
      <c r="S81" s="1">
        <v>25676.343970000002</v>
      </c>
      <c r="T81" s="1">
        <v>26796.021410000001</v>
      </c>
      <c r="U81" s="1">
        <v>28895.269400000001</v>
      </c>
      <c r="V81" s="1">
        <v>29562.645059999999</v>
      </c>
      <c r="W81" s="1">
        <v>30477.64343</v>
      </c>
      <c r="X81" s="1">
        <v>29823.34821</v>
      </c>
      <c r="Y81" s="1">
        <v>30857.961190000002</v>
      </c>
      <c r="Z81" s="1">
        <v>32101.013139999999</v>
      </c>
      <c r="AA81" s="1">
        <v>33033.714999999997</v>
      </c>
      <c r="AB81" s="1">
        <v>34078.352299999999</v>
      </c>
      <c r="AC81" s="1"/>
    </row>
    <row r="82" spans="2:29">
      <c r="B82" s="18" t="s">
        <v>9</v>
      </c>
      <c r="C82" s="18" t="s">
        <v>88</v>
      </c>
      <c r="D82" s="18">
        <f t="shared" ref="D82:M82" si="43">D120*$E159</f>
        <v>887.07303329683214</v>
      </c>
      <c r="E82" s="18">
        <f t="shared" si="43"/>
        <v>963.84717706509321</v>
      </c>
      <c r="F82" s="18">
        <f t="shared" si="43"/>
        <v>1022.2712503825342</v>
      </c>
      <c r="G82" s="18">
        <f t="shared" si="43"/>
        <v>1106.8434194192332</v>
      </c>
      <c r="H82" s="18">
        <f t="shared" si="43"/>
        <v>1160.4014959983676</v>
      </c>
      <c r="I82" s="18">
        <f t="shared" si="43"/>
        <v>1213.2191314582913</v>
      </c>
      <c r="J82" s="18">
        <f t="shared" si="43"/>
        <v>1262.9583422671335</v>
      </c>
      <c r="K82" s="18">
        <f t="shared" si="43"/>
        <v>1326.9173756918542</v>
      </c>
      <c r="L82" s="18">
        <f t="shared" si="43"/>
        <v>1403.7153909815509</v>
      </c>
      <c r="M82" s="18">
        <f t="shared" si="43"/>
        <v>1451.164371435769</v>
      </c>
      <c r="N82" s="1">
        <v>1520.5198010300001</v>
      </c>
      <c r="O82" s="1">
        <v>1506.20060691</v>
      </c>
      <c r="P82" s="1">
        <v>1901.84635809</v>
      </c>
      <c r="Q82" s="1">
        <v>2241.62559311</v>
      </c>
      <c r="R82" s="1">
        <v>3228.5404663499999</v>
      </c>
      <c r="S82" s="1">
        <v>3728.7494000000002</v>
      </c>
      <c r="T82" s="1">
        <v>4492.5105800000001</v>
      </c>
      <c r="U82" s="1">
        <v>4905.22192</v>
      </c>
      <c r="V82" s="1">
        <v>5102.39066</v>
      </c>
      <c r="W82" s="1">
        <v>4503.1881400000002</v>
      </c>
      <c r="X82" s="1">
        <v>3833.5658600000002</v>
      </c>
      <c r="Y82" s="1">
        <v>4113.2564599999996</v>
      </c>
      <c r="Z82" s="1">
        <v>4121.0810000000001</v>
      </c>
      <c r="AA82" s="1">
        <v>4283.5963700000002</v>
      </c>
      <c r="AB82" s="1">
        <v>4502.4045599999999</v>
      </c>
      <c r="AC82" s="1"/>
    </row>
    <row r="83" spans="2:29">
      <c r="B83" s="18" t="s">
        <v>8</v>
      </c>
      <c r="C83" s="18" t="s">
        <v>88</v>
      </c>
      <c r="D83" s="18">
        <f t="shared" ref="D83:M83" si="44">D121*$E160</f>
        <v>318223.7601774162</v>
      </c>
      <c r="E83" s="18">
        <f t="shared" si="44"/>
        <v>250671.01709313813</v>
      </c>
      <c r="F83" s="18">
        <f t="shared" si="44"/>
        <v>246132.11576095573</v>
      </c>
      <c r="G83" s="18">
        <f t="shared" si="44"/>
        <v>299773.31591658032</v>
      </c>
      <c r="H83" s="18">
        <f t="shared" si="44"/>
        <v>371693.19344943325</v>
      </c>
      <c r="I83" s="18">
        <f t="shared" si="44"/>
        <v>438711.15911094367</v>
      </c>
      <c r="J83" s="18">
        <f t="shared" si="44"/>
        <v>462595.04460040113</v>
      </c>
      <c r="K83" s="18">
        <f t="shared" si="44"/>
        <v>519939.98361793428</v>
      </c>
      <c r="L83" s="18">
        <f t="shared" si="44"/>
        <v>663228.07509715308</v>
      </c>
      <c r="M83" s="18">
        <f t="shared" si="44"/>
        <v>653307.09090136841</v>
      </c>
      <c r="N83" s="1">
        <v>705332.41711627005</v>
      </c>
      <c r="O83" s="1">
        <v>821351.33650811005</v>
      </c>
      <c r="P83" s="1">
        <v>844132.82548832998</v>
      </c>
      <c r="Q83" s="1">
        <v>825842.82168000005</v>
      </c>
      <c r="R83" s="1">
        <v>831005.05339000002</v>
      </c>
      <c r="S83" s="1">
        <v>812085.05455</v>
      </c>
      <c r="T83" s="1">
        <v>803869.77110000001</v>
      </c>
      <c r="U83" s="1">
        <v>1005586.34555</v>
      </c>
      <c r="V83" s="1">
        <v>1286430.6144300001</v>
      </c>
      <c r="W83" s="1">
        <v>1210887.0278700001</v>
      </c>
      <c r="X83" s="1">
        <v>1079154.1883100001</v>
      </c>
      <c r="Y83" s="1">
        <v>1213500.92</v>
      </c>
      <c r="Z83" s="1">
        <v>1314952.67</v>
      </c>
      <c r="AA83" s="1">
        <v>1384981.69</v>
      </c>
      <c r="AB83" s="1">
        <v>1524662.34</v>
      </c>
      <c r="AC83" s="1"/>
    </row>
    <row r="84" spans="2:29">
      <c r="B84" s="18" t="s">
        <v>12</v>
      </c>
      <c r="C84" s="18" t="s">
        <v>88</v>
      </c>
      <c r="D84" s="18">
        <f t="shared" ref="D84:M84" si="45">D122*$E161</f>
        <v>147.20435780701041</v>
      </c>
      <c r="E84" s="18">
        <f t="shared" si="45"/>
        <v>190.95193280190796</v>
      </c>
      <c r="F84" s="18">
        <f t="shared" si="45"/>
        <v>197.25507165395149</v>
      </c>
      <c r="G84" s="18">
        <f t="shared" si="45"/>
        <v>1650.306723658591</v>
      </c>
      <c r="H84" s="18">
        <f t="shared" si="45"/>
        <v>2024.6582441171226</v>
      </c>
      <c r="I84" s="18">
        <f t="shared" si="45"/>
        <v>1231.9082054136791</v>
      </c>
      <c r="J84" s="18">
        <f t="shared" si="45"/>
        <v>3159.6111885724968</v>
      </c>
      <c r="K84" s="18">
        <f t="shared" si="45"/>
        <v>4016.9634717391568</v>
      </c>
      <c r="L84" s="18">
        <f t="shared" si="45"/>
        <v>5155.1489785852</v>
      </c>
      <c r="M84" s="18">
        <f t="shared" si="45"/>
        <v>6112.3627910331925</v>
      </c>
      <c r="N84" s="1">
        <v>6433.17</v>
      </c>
      <c r="O84" s="1">
        <v>7080.25</v>
      </c>
      <c r="P84" s="1">
        <v>8339.2800000000007</v>
      </c>
      <c r="Q84" s="1">
        <v>8283.9</v>
      </c>
      <c r="R84" s="1">
        <v>9047.0300000000007</v>
      </c>
      <c r="S84" s="1">
        <v>9341.1</v>
      </c>
      <c r="T84" s="1">
        <v>9101.9599999999991</v>
      </c>
      <c r="U84" s="1">
        <v>9309.59</v>
      </c>
      <c r="V84" s="1">
        <v>10071.25</v>
      </c>
      <c r="W84" s="1">
        <v>10180.629999999999</v>
      </c>
      <c r="X84" s="1">
        <v>9479.59</v>
      </c>
      <c r="Y84" s="1">
        <v>10215.75</v>
      </c>
      <c r="Z84" s="1">
        <v>10425.67</v>
      </c>
      <c r="AA84" s="1">
        <v>10702.43</v>
      </c>
      <c r="AB84" s="1">
        <v>11236.76</v>
      </c>
      <c r="AC84" s="1"/>
    </row>
    <row r="85" spans="2:29">
      <c r="B85" s="18" t="s">
        <v>5</v>
      </c>
      <c r="C85" s="18" t="s">
        <v>88</v>
      </c>
      <c r="D85" s="18">
        <f t="shared" ref="D85:M85" si="46">D123*$E162</f>
        <v>17783.502786893383</v>
      </c>
      <c r="E85" s="18">
        <f t="shared" si="46"/>
        <v>20141.553854638227</v>
      </c>
      <c r="F85" s="18">
        <f t="shared" si="46"/>
        <v>20219.398758214862</v>
      </c>
      <c r="G85" s="18">
        <f t="shared" si="46"/>
        <v>22447.578038148567</v>
      </c>
      <c r="H85" s="18">
        <f t="shared" si="46"/>
        <v>24569.778795177583</v>
      </c>
      <c r="I85" s="18">
        <f t="shared" si="46"/>
        <v>29043.281533217058</v>
      </c>
      <c r="J85" s="18">
        <f t="shared" si="46"/>
        <v>33032.108908610026</v>
      </c>
      <c r="K85" s="18">
        <f t="shared" si="46"/>
        <v>39214.281475880016</v>
      </c>
      <c r="L85" s="18">
        <f t="shared" si="46"/>
        <v>42469.615696984671</v>
      </c>
      <c r="M85" s="18">
        <f t="shared" si="46"/>
        <v>45827.438575717177</v>
      </c>
      <c r="N85" s="1">
        <v>59114.622000000003</v>
      </c>
      <c r="O85" s="1">
        <v>52687.607000000004</v>
      </c>
      <c r="P85" s="1">
        <v>53859.406000000003</v>
      </c>
      <c r="Q85" s="1">
        <v>52346.212</v>
      </c>
      <c r="R85" s="1">
        <v>53876.383000000002</v>
      </c>
      <c r="S85" s="1">
        <v>58201.042000000001</v>
      </c>
      <c r="T85" s="1">
        <v>58984.41</v>
      </c>
      <c r="U85" s="1">
        <v>65943.399999999994</v>
      </c>
      <c r="V85" s="1">
        <v>71180.25</v>
      </c>
      <c r="W85" s="1">
        <v>73939.199999999997</v>
      </c>
      <c r="X85" s="1">
        <v>63075.79</v>
      </c>
      <c r="Y85" s="1">
        <v>68455.399999999994</v>
      </c>
      <c r="Z85" s="1">
        <v>68726.23</v>
      </c>
      <c r="AA85" s="1">
        <v>66118.210000000006</v>
      </c>
      <c r="AB85" s="1">
        <v>68696.97</v>
      </c>
      <c r="AC85" s="1"/>
    </row>
    <row r="86" spans="2:29">
      <c r="B86" s="18" t="s">
        <v>21</v>
      </c>
      <c r="C86" s="18" t="s">
        <v>88</v>
      </c>
      <c r="D86" s="18">
        <f t="shared" ref="D86:M86" si="47">D124*$E163</f>
        <v>194389.13141727986</v>
      </c>
      <c r="E86" s="18">
        <f t="shared" si="47"/>
        <v>253095.38139615592</v>
      </c>
      <c r="F86" s="18">
        <f t="shared" si="47"/>
        <v>369437.50925176422</v>
      </c>
      <c r="G86" s="18">
        <f t="shared" si="47"/>
        <v>402028.55610907899</v>
      </c>
      <c r="H86" s="18">
        <f t="shared" si="47"/>
        <v>438731.62968167261</v>
      </c>
      <c r="I86" s="18">
        <f t="shared" si="47"/>
        <v>447570.05373877543</v>
      </c>
      <c r="J86" s="18">
        <f t="shared" si="47"/>
        <v>399626.13593408046</v>
      </c>
      <c r="K86" s="18">
        <f t="shared" si="47"/>
        <v>370304.68067785044</v>
      </c>
      <c r="L86" s="18">
        <f t="shared" si="47"/>
        <v>330107.00796054926</v>
      </c>
      <c r="M86" s="18">
        <f t="shared" si="47"/>
        <v>318334.5573975739</v>
      </c>
      <c r="N86" s="1">
        <v>346048.36849999998</v>
      </c>
      <c r="O86" s="1">
        <v>398893.30501119001</v>
      </c>
      <c r="P86" s="1">
        <v>464966.46526955999</v>
      </c>
      <c r="Q86" s="1">
        <v>368279.95445999998</v>
      </c>
      <c r="R86" s="1">
        <v>381830.49716999999</v>
      </c>
      <c r="S86" s="1">
        <v>390857.04584999999</v>
      </c>
      <c r="T86" s="1">
        <v>391197.33909000002</v>
      </c>
      <c r="U86" s="1">
        <v>439013.44672000001</v>
      </c>
      <c r="V86" s="1">
        <v>485078.84776999999</v>
      </c>
      <c r="W86" s="1">
        <v>513431.13678</v>
      </c>
      <c r="X86" s="1">
        <v>432249.83746000001</v>
      </c>
      <c r="Y86" s="1">
        <v>511346.46</v>
      </c>
      <c r="Z86" s="1">
        <v>556591.42714000004</v>
      </c>
      <c r="AA86" s="1">
        <v>654746.46505999996</v>
      </c>
      <c r="AB86" s="1">
        <v>753395.91159999999</v>
      </c>
      <c r="AC86" s="1"/>
    </row>
    <row r="87" spans="2:29">
      <c r="B87" s="18" t="s">
        <v>22</v>
      </c>
      <c r="C87" s="18" t="s">
        <v>88</v>
      </c>
      <c r="D87" s="18">
        <f t="shared" ref="D87:M87" si="48">D125*$E164</f>
        <v>82761.966562803602</v>
      </c>
      <c r="E87" s="18">
        <f t="shared" si="48"/>
        <v>73973.987373803277</v>
      </c>
      <c r="F87" s="18">
        <f t="shared" si="48"/>
        <v>70866.608398908225</v>
      </c>
      <c r="G87" s="18">
        <f t="shared" si="48"/>
        <v>78653.773741331184</v>
      </c>
      <c r="H87" s="18">
        <f t="shared" si="48"/>
        <v>82513.449806498495</v>
      </c>
      <c r="I87" s="18">
        <f t="shared" si="48"/>
        <v>90541.515776516273</v>
      </c>
      <c r="J87" s="18">
        <f t="shared" si="48"/>
        <v>87526.019556666186</v>
      </c>
      <c r="K87" s="18">
        <f t="shared" si="48"/>
        <v>88692.955906804506</v>
      </c>
      <c r="L87" s="18">
        <f t="shared" si="48"/>
        <v>101758.25452408184</v>
      </c>
      <c r="M87" s="18">
        <f t="shared" si="48"/>
        <v>93219.828010283061</v>
      </c>
      <c r="N87" s="1">
        <v>97675.34</v>
      </c>
      <c r="O87" s="1">
        <v>105571.11</v>
      </c>
      <c r="P87" s="1">
        <v>112615.21</v>
      </c>
      <c r="Q87" s="1">
        <v>127813.41314</v>
      </c>
      <c r="R87" s="1">
        <v>118498.48118</v>
      </c>
      <c r="S87" s="1">
        <v>99894.365550000002</v>
      </c>
      <c r="T87" s="1">
        <v>95528.921749999994</v>
      </c>
      <c r="U87" s="1">
        <v>104677.1257</v>
      </c>
      <c r="V87" s="1">
        <v>142739.89996000001</v>
      </c>
      <c r="W87" s="1">
        <v>133171.99092000001</v>
      </c>
      <c r="X87" s="1">
        <v>105879.99007</v>
      </c>
      <c r="Y87" s="1">
        <v>143700.5</v>
      </c>
      <c r="Z87" s="1">
        <v>166454.64454000001</v>
      </c>
      <c r="AA87" s="1">
        <v>161759.23000000001</v>
      </c>
      <c r="AB87" s="1">
        <v>181874.93</v>
      </c>
      <c r="AC87" s="1"/>
    </row>
    <row r="88" spans="2:29">
      <c r="B88" s="18" t="s">
        <v>23</v>
      </c>
      <c r="C88" s="18" t="s">
        <v>88</v>
      </c>
      <c r="D88" s="18">
        <f t="shared" ref="D88:M88" si="49">D126*$E165</f>
        <v>236729.96081450078</v>
      </c>
      <c r="E88" s="18">
        <f t="shared" si="49"/>
        <v>231757.23872721297</v>
      </c>
      <c r="F88" s="18">
        <f t="shared" si="49"/>
        <v>219435.95237210346</v>
      </c>
      <c r="G88" s="18">
        <f t="shared" si="49"/>
        <v>223576.93343181859</v>
      </c>
      <c r="H88" s="18">
        <f t="shared" si="49"/>
        <v>242554.66542713795</v>
      </c>
      <c r="I88" s="18">
        <f t="shared" si="49"/>
        <v>276647.88779158512</v>
      </c>
      <c r="J88" s="18">
        <f t="shared" si="49"/>
        <v>293892.97043709195</v>
      </c>
      <c r="K88" s="18">
        <f t="shared" si="49"/>
        <v>309553.42247022962</v>
      </c>
      <c r="L88" s="18">
        <f t="shared" si="49"/>
        <v>320437.76406280522</v>
      </c>
      <c r="M88" s="18">
        <f t="shared" si="49"/>
        <v>319352.25790153834</v>
      </c>
      <c r="N88" s="1">
        <v>352137.21633000002</v>
      </c>
      <c r="O88" s="1">
        <v>405636.82021328999</v>
      </c>
      <c r="P88" s="1">
        <v>456290.36934666999</v>
      </c>
      <c r="Q88" s="1">
        <v>474424.22941000003</v>
      </c>
      <c r="R88" s="1">
        <v>557469.47083999997</v>
      </c>
      <c r="S88" s="1">
        <v>550072.44420000003</v>
      </c>
      <c r="T88" s="1">
        <v>595223.41911000002</v>
      </c>
      <c r="U88" s="1">
        <v>658436.77060000005</v>
      </c>
      <c r="V88" s="1">
        <v>717519.07365999999</v>
      </c>
      <c r="W88" s="1">
        <v>728779.55416000006</v>
      </c>
      <c r="X88" s="1">
        <v>697922.16914999997</v>
      </c>
      <c r="Y88" s="1">
        <v>763819.49</v>
      </c>
      <c r="Z88" s="1">
        <v>843110.21</v>
      </c>
      <c r="AA88" s="1">
        <v>852969.36</v>
      </c>
      <c r="AB88" s="1">
        <v>940846.7</v>
      </c>
      <c r="AC88" s="1"/>
    </row>
    <row r="89" spans="2:29">
      <c r="B89" s="18" t="s">
        <v>24</v>
      </c>
      <c r="C89" s="18" t="s">
        <v>88</v>
      </c>
      <c r="D89" s="18">
        <f t="shared" ref="D89:M89" si="50">D127*$E166</f>
        <v>11248.125046869331</v>
      </c>
      <c r="E89" s="18">
        <f t="shared" si="50"/>
        <v>10429.258565195669</v>
      </c>
      <c r="F89" s="18">
        <f t="shared" si="50"/>
        <v>9394.1048431623603</v>
      </c>
      <c r="G89" s="18">
        <f t="shared" si="50"/>
        <v>10287.28244480755</v>
      </c>
      <c r="H89" s="18">
        <f t="shared" si="50"/>
        <v>10193.846491205497</v>
      </c>
      <c r="I89" s="18">
        <f t="shared" si="50"/>
        <v>10461.636101930324</v>
      </c>
      <c r="J89" s="18">
        <f t="shared" si="50"/>
        <v>12261.81483645154</v>
      </c>
      <c r="K89" s="18">
        <f t="shared" si="50"/>
        <v>10765.968809109694</v>
      </c>
      <c r="L89" s="18">
        <f t="shared" si="50"/>
        <v>12605.473369109111</v>
      </c>
      <c r="M89" s="18">
        <f t="shared" si="50"/>
        <v>11916.236828311212</v>
      </c>
      <c r="N89" s="1">
        <v>13450.17877</v>
      </c>
      <c r="O89" s="1">
        <v>24014.77176</v>
      </c>
      <c r="P89" s="1">
        <v>19166.051930000001</v>
      </c>
      <c r="Q89" s="1">
        <v>20621.767769999999</v>
      </c>
      <c r="R89" s="1">
        <v>12293.71025</v>
      </c>
      <c r="S89" s="1">
        <v>12546.782359999999</v>
      </c>
      <c r="T89" s="1">
        <v>9917.5026500000004</v>
      </c>
      <c r="U89" s="1">
        <v>9243.3084199999994</v>
      </c>
      <c r="V89" s="1">
        <v>10073.735339999999</v>
      </c>
      <c r="W89" s="1">
        <v>10796.665230000001</v>
      </c>
      <c r="X89" s="1">
        <v>8514.4359199999999</v>
      </c>
      <c r="Y89" s="1">
        <v>7643.0195400000002</v>
      </c>
      <c r="Z89" s="1">
        <v>7714.75</v>
      </c>
      <c r="AA89" s="1">
        <v>12545.1</v>
      </c>
      <c r="AB89" s="1">
        <v>23320.25</v>
      </c>
      <c r="AC89" s="1"/>
    </row>
    <row r="90" spans="2:29">
      <c r="B90" s="18" t="s">
        <v>25</v>
      </c>
      <c r="C90" s="18" t="s">
        <v>88</v>
      </c>
      <c r="D90" s="18">
        <f t="shared" ref="D90:M90" si="51">D128*$E167</f>
        <v>23311.86796193603</v>
      </c>
      <c r="E90" s="18">
        <f t="shared" si="51"/>
        <v>22877.848699567414</v>
      </c>
      <c r="F90" s="18">
        <f t="shared" si="51"/>
        <v>23102.756161694797</v>
      </c>
      <c r="G90" s="18">
        <f t="shared" si="51"/>
        <v>23571.738897592404</v>
      </c>
      <c r="H90" s="18">
        <f t="shared" si="51"/>
        <v>24457.729786158259</v>
      </c>
      <c r="I90" s="18">
        <f t="shared" si="51"/>
        <v>26086.869578203106</v>
      </c>
      <c r="J90" s="18">
        <f t="shared" si="51"/>
        <v>45884.589591519369</v>
      </c>
      <c r="K90" s="18">
        <f t="shared" si="51"/>
        <v>30258.988195630696</v>
      </c>
      <c r="L90" s="18">
        <f t="shared" si="51"/>
        <v>30837.429144782029</v>
      </c>
      <c r="M90" s="18">
        <f t="shared" si="51"/>
        <v>46562.417960170227</v>
      </c>
      <c r="N90" s="1">
        <v>60292.732349999998</v>
      </c>
      <c r="O90" s="1">
        <v>73712.172959999996</v>
      </c>
      <c r="P90" s="1">
        <v>74301.045610000001</v>
      </c>
      <c r="Q90" s="1">
        <v>72126.909759999995</v>
      </c>
      <c r="R90" s="1">
        <v>70422.31998</v>
      </c>
      <c r="S90" s="1">
        <v>63965.122750000002</v>
      </c>
      <c r="T90" s="1">
        <v>62063.177750000003</v>
      </c>
      <c r="U90" s="1">
        <v>68384.024300000005</v>
      </c>
      <c r="V90" s="1">
        <v>73747.281690000003</v>
      </c>
      <c r="W90" s="1">
        <v>74902.991880000001</v>
      </c>
      <c r="X90" s="1">
        <v>64759.264179999998</v>
      </c>
      <c r="Y90" s="1">
        <v>78189.951629999996</v>
      </c>
      <c r="Z90" s="1">
        <v>89521.900009999998</v>
      </c>
      <c r="AA90" s="1">
        <v>97085.11</v>
      </c>
      <c r="AB90" s="1">
        <v>102712.42</v>
      </c>
      <c r="AC90" s="1"/>
    </row>
    <row r="91" spans="2:29">
      <c r="B91" s="18" t="s">
        <v>26</v>
      </c>
      <c r="C91" s="18" t="s">
        <v>88</v>
      </c>
      <c r="D91" s="18">
        <f t="shared" ref="D91:M91" si="52">D129*$E168</f>
        <v>13013.913671325716</v>
      </c>
      <c r="E91" s="18">
        <f t="shared" si="52"/>
        <v>13168.738519527302</v>
      </c>
      <c r="F91" s="18">
        <f t="shared" si="52"/>
        <v>13774.592272673064</v>
      </c>
      <c r="G91" s="18">
        <f t="shared" si="52"/>
        <v>15216.810498196955</v>
      </c>
      <c r="H91" s="18">
        <f t="shared" si="52"/>
        <v>14641.145849511064</v>
      </c>
      <c r="I91" s="18">
        <f t="shared" si="52"/>
        <v>15835.984111502836</v>
      </c>
      <c r="J91" s="18">
        <f t="shared" si="52"/>
        <v>17746.009822463348</v>
      </c>
      <c r="K91" s="18">
        <f t="shared" si="52"/>
        <v>19442.038717906773</v>
      </c>
      <c r="L91" s="18">
        <f t="shared" si="52"/>
        <v>21610.76686869387</v>
      </c>
      <c r="M91" s="18">
        <f t="shared" si="52"/>
        <v>23777.301948624245</v>
      </c>
      <c r="N91" s="1">
        <v>26796</v>
      </c>
      <c r="O91" s="1">
        <v>28729.806</v>
      </c>
      <c r="P91" s="1">
        <v>30909.5</v>
      </c>
      <c r="Q91" s="1">
        <v>32582.1</v>
      </c>
      <c r="R91" s="1">
        <v>33240.815000000002</v>
      </c>
      <c r="S91" s="1">
        <v>35469.542999999998</v>
      </c>
      <c r="T91" s="1">
        <v>37145.748</v>
      </c>
      <c r="U91" s="1">
        <v>39105.5</v>
      </c>
      <c r="V91" s="1">
        <v>43144.3</v>
      </c>
      <c r="W91" s="1">
        <v>42831.6</v>
      </c>
      <c r="X91" s="1">
        <v>39957.300000000003</v>
      </c>
      <c r="Y91" s="1">
        <v>41818</v>
      </c>
      <c r="Z91" s="1">
        <v>43871.6</v>
      </c>
      <c r="AA91" s="1">
        <v>43986.9</v>
      </c>
      <c r="AB91" s="1">
        <v>44146</v>
      </c>
      <c r="AC91" s="1"/>
    </row>
    <row r="92" spans="2:29">
      <c r="B92" s="18" t="s">
        <v>27</v>
      </c>
      <c r="C92" s="18" t="s">
        <v>88</v>
      </c>
      <c r="D92" s="18">
        <f t="shared" ref="D92:M92" si="53">D130*$E169</f>
        <v>109887.95318448747</v>
      </c>
      <c r="E92" s="18">
        <f t="shared" si="53"/>
        <v>120254.32919561272</v>
      </c>
      <c r="F92" s="18">
        <f t="shared" si="53"/>
        <v>118849.98718838784</v>
      </c>
      <c r="G92" s="18">
        <f t="shared" si="53"/>
        <v>130349.51473700718</v>
      </c>
      <c r="H92" s="18">
        <f t="shared" si="53"/>
        <v>147019.87025353333</v>
      </c>
      <c r="I92" s="18">
        <f t="shared" si="53"/>
        <v>172457.35673382162</v>
      </c>
      <c r="J92" s="18">
        <f t="shared" si="53"/>
        <v>190282.67560519325</v>
      </c>
      <c r="K92" s="18">
        <f t="shared" si="53"/>
        <v>197918.17127261564</v>
      </c>
      <c r="L92" s="18">
        <f t="shared" si="53"/>
        <v>211386.30168234481</v>
      </c>
      <c r="M92" s="18">
        <f t="shared" si="53"/>
        <v>186097.39540184225</v>
      </c>
      <c r="N92" s="1">
        <v>190189.31018999999</v>
      </c>
      <c r="O92" s="1">
        <v>201760.97839999999</v>
      </c>
      <c r="P92" s="1">
        <v>216311.54801999999</v>
      </c>
      <c r="Q92" s="1">
        <v>224899.85483</v>
      </c>
      <c r="R92" s="1">
        <v>234505.33064</v>
      </c>
      <c r="S92" s="1">
        <v>234497.40807999999</v>
      </c>
      <c r="T92" s="1">
        <v>233832.0699</v>
      </c>
      <c r="U92" s="1">
        <v>243696.83108</v>
      </c>
      <c r="V92" s="1">
        <v>254241.78383</v>
      </c>
      <c r="W92" s="1">
        <v>267465.88319000002</v>
      </c>
      <c r="X92" s="1">
        <v>260092.12956</v>
      </c>
      <c r="Y92" s="1">
        <v>275847.51189999998</v>
      </c>
      <c r="Z92" s="1">
        <v>284869.92720999999</v>
      </c>
      <c r="AA92" s="1">
        <v>312710.26</v>
      </c>
      <c r="AB92" s="1">
        <v>340707.66</v>
      </c>
      <c r="AC92" s="1"/>
    </row>
    <row r="93" spans="2:29">
      <c r="B93" s="18" t="s">
        <v>46</v>
      </c>
      <c r="C93" s="18" t="s">
        <v>88</v>
      </c>
      <c r="D93" s="18">
        <f t="shared" ref="D93:M93" si="54">D131*$E170</f>
        <v>0</v>
      </c>
      <c r="E93" s="18">
        <f t="shared" si="54"/>
        <v>0</v>
      </c>
      <c r="F93" s="18">
        <f t="shared" si="54"/>
        <v>0</v>
      </c>
      <c r="G93" s="18">
        <f t="shared" si="54"/>
        <v>0</v>
      </c>
      <c r="H93" s="18">
        <f t="shared" si="54"/>
        <v>0</v>
      </c>
      <c r="I93" s="18">
        <f t="shared" si="54"/>
        <v>0</v>
      </c>
      <c r="J93" s="18">
        <f t="shared" si="54"/>
        <v>0</v>
      </c>
      <c r="K93" s="18">
        <f t="shared" si="54"/>
        <v>0</v>
      </c>
      <c r="L93" s="18">
        <f t="shared" si="54"/>
        <v>0</v>
      </c>
      <c r="M93" s="18">
        <f t="shared" si="54"/>
        <v>0</v>
      </c>
      <c r="N93" s="1">
        <v>15811.129300000001</v>
      </c>
      <c r="O93" s="1">
        <v>16816.232399999997</v>
      </c>
      <c r="P93" s="1">
        <v>18301.161410000001</v>
      </c>
      <c r="Q93" s="1">
        <v>19779.800810000001</v>
      </c>
      <c r="R93" s="1">
        <v>21603.61537</v>
      </c>
      <c r="S93" s="1">
        <v>21876.401529999999</v>
      </c>
      <c r="T93" s="1">
        <v>22762.322049999999</v>
      </c>
      <c r="U93" s="1">
        <v>23733.629580000001</v>
      </c>
      <c r="V93" s="1">
        <v>25323.149379999999</v>
      </c>
      <c r="W93" s="1">
        <v>29058.203280000002</v>
      </c>
      <c r="X93" s="1">
        <v>30490.771909999999</v>
      </c>
      <c r="Y93" s="1">
        <v>36742.693059999998</v>
      </c>
      <c r="Z93" s="1">
        <v>39018.789400000001</v>
      </c>
      <c r="AA93" s="1">
        <v>40036.127399999998</v>
      </c>
      <c r="AB93" s="1">
        <v>40747.758500000004</v>
      </c>
      <c r="AC93" s="1"/>
    </row>
    <row r="94" spans="2:29">
      <c r="B94" s="18" t="s">
        <v>28</v>
      </c>
      <c r="C94" s="18" t="s">
        <v>88</v>
      </c>
      <c r="D94" s="18">
        <f t="shared" ref="D94:M94" si="55">D132*$E171</f>
        <v>4625.4788975752017</v>
      </c>
      <c r="E94" s="18">
        <f t="shared" si="55"/>
        <v>5943.5070387488358</v>
      </c>
      <c r="F94" s="18">
        <f t="shared" si="55"/>
        <v>5740.1462644550656</v>
      </c>
      <c r="G94" s="18">
        <f t="shared" si="55"/>
        <v>6335.8863586668731</v>
      </c>
      <c r="H94" s="18">
        <f t="shared" si="55"/>
        <v>13747.566807285259</v>
      </c>
      <c r="I94" s="18">
        <f t="shared" si="55"/>
        <v>15868.842600864429</v>
      </c>
      <c r="J94" s="18">
        <f t="shared" si="55"/>
        <v>16468.726391513588</v>
      </c>
      <c r="K94" s="18">
        <f t="shared" si="55"/>
        <v>16332.509888785578</v>
      </c>
      <c r="L94" s="18">
        <f t="shared" si="55"/>
        <v>16263.18792692344</v>
      </c>
      <c r="M94" s="18">
        <f t="shared" si="55"/>
        <v>16578.788130097917</v>
      </c>
      <c r="N94" s="1">
        <v>16708.846560000002</v>
      </c>
      <c r="O94" s="1">
        <v>24220.7101</v>
      </c>
      <c r="P94" s="1">
        <v>21254.281080000001</v>
      </c>
      <c r="Q94" s="1">
        <v>23391.633979999999</v>
      </c>
      <c r="R94" s="1">
        <v>28282.352279999999</v>
      </c>
      <c r="S94" s="1">
        <v>21819.72393</v>
      </c>
      <c r="T94" s="1">
        <v>18484.763319999998</v>
      </c>
      <c r="U94" s="1">
        <v>23981.257610000001</v>
      </c>
      <c r="V94" s="1">
        <v>23986.278780000001</v>
      </c>
      <c r="W94" s="1">
        <v>19290.485509999999</v>
      </c>
      <c r="X94" s="1">
        <v>17059.954819999999</v>
      </c>
      <c r="Y94" s="1">
        <v>26792.309700000002</v>
      </c>
      <c r="Z94" s="1">
        <v>25607.627349999999</v>
      </c>
      <c r="AA94" s="1">
        <v>18901.072199999999</v>
      </c>
      <c r="AB94" s="1">
        <v>14695.74012</v>
      </c>
      <c r="AC94" s="1"/>
    </row>
    <row r="95" spans="2:29">
      <c r="B95" s="18" t="s">
        <v>29</v>
      </c>
      <c r="C95" s="18" t="s">
        <v>88</v>
      </c>
      <c r="D95" s="18">
        <f t="shared" ref="D95:M95" si="56">D133*$E172</f>
        <v>0</v>
      </c>
      <c r="E95" s="18">
        <f t="shared" si="56"/>
        <v>0</v>
      </c>
      <c r="F95" s="18">
        <f t="shared" si="56"/>
        <v>0</v>
      </c>
      <c r="G95" s="18">
        <f t="shared" si="56"/>
        <v>46789.163229710153</v>
      </c>
      <c r="H95" s="18">
        <f t="shared" si="56"/>
        <v>69109.748059997699</v>
      </c>
      <c r="I95" s="18">
        <f t="shared" si="56"/>
        <v>85966.947589781485</v>
      </c>
      <c r="J95" s="18">
        <f t="shared" si="56"/>
        <v>87746.887534126174</v>
      </c>
      <c r="K95" s="18">
        <f t="shared" si="56"/>
        <v>102278.64897020516</v>
      </c>
      <c r="L95" s="18">
        <f t="shared" si="56"/>
        <v>120600.49994766926</v>
      </c>
      <c r="M95" s="18">
        <f t="shared" si="56"/>
        <v>129864.42951615143</v>
      </c>
      <c r="N95" s="1">
        <v>147687.27632</v>
      </c>
      <c r="O95" s="1">
        <v>223476.23517</v>
      </c>
      <c r="P95" s="1">
        <v>189998.6061</v>
      </c>
      <c r="Q95" s="1">
        <v>213688.49163</v>
      </c>
      <c r="R95" s="1">
        <v>214272.77122</v>
      </c>
      <c r="S95" s="1">
        <v>221922.08624</v>
      </c>
      <c r="T95" s="1">
        <v>230373.56763000001</v>
      </c>
      <c r="U95" s="1">
        <v>229758.39721</v>
      </c>
      <c r="V95" s="1">
        <v>237566.50828000001</v>
      </c>
      <c r="W95" s="1">
        <v>249613.05324000001</v>
      </c>
      <c r="X95" s="1">
        <v>244692.56696</v>
      </c>
      <c r="Y95" s="1">
        <v>264495.02633000002</v>
      </c>
      <c r="Z95" s="1">
        <v>294894.12</v>
      </c>
      <c r="AA95" s="1">
        <v>287211.5</v>
      </c>
      <c r="AB95" s="1">
        <v>297789.96000000002</v>
      </c>
      <c r="AC95" s="1"/>
    </row>
    <row r="96" spans="2:29">
      <c r="B96" s="18" t="s">
        <v>7</v>
      </c>
      <c r="C96" s="18" t="s">
        <v>88</v>
      </c>
      <c r="D96" s="18">
        <f t="shared" ref="D96:M96" si="57">D134*$E173</f>
        <v>39169.118797456911</v>
      </c>
      <c r="E96" s="18">
        <f t="shared" si="57"/>
        <v>37796.470885053277</v>
      </c>
      <c r="F96" s="18">
        <f t="shared" si="57"/>
        <v>42931.043126252291</v>
      </c>
      <c r="G96" s="18">
        <f t="shared" si="57"/>
        <v>45498.099212642002</v>
      </c>
      <c r="H96" s="18">
        <f t="shared" si="57"/>
        <v>35855.55526079121</v>
      </c>
      <c r="I96" s="18">
        <f t="shared" si="57"/>
        <v>39414.983622828069</v>
      </c>
      <c r="J96" s="18">
        <f t="shared" si="57"/>
        <v>42136.767263519199</v>
      </c>
      <c r="K96" s="18">
        <f t="shared" si="57"/>
        <v>43590.463527639891</v>
      </c>
      <c r="L96" s="18">
        <f t="shared" si="57"/>
        <v>64905.266197843324</v>
      </c>
      <c r="M96" s="18">
        <f t="shared" si="57"/>
        <v>67659.337749511498</v>
      </c>
      <c r="N96" s="1">
        <v>57311.391499999998</v>
      </c>
      <c r="O96" s="1">
        <v>65875.587180000002</v>
      </c>
      <c r="P96" s="1">
        <v>88963.934630000003</v>
      </c>
      <c r="Q96" s="1">
        <v>86553.21153</v>
      </c>
      <c r="R96" s="1">
        <v>91012.275410000002</v>
      </c>
      <c r="S96" s="1">
        <v>87855.872199999998</v>
      </c>
      <c r="T96" s="1">
        <v>88743.641610000006</v>
      </c>
      <c r="U96" s="1">
        <v>95546.284409999993</v>
      </c>
      <c r="V96" s="1">
        <v>109174.57296</v>
      </c>
      <c r="W96" s="1">
        <v>113608.50129</v>
      </c>
      <c r="X96" s="1">
        <v>107106.59385999999</v>
      </c>
      <c r="Y96" s="1">
        <v>122697.45759999999</v>
      </c>
      <c r="Z96" s="1">
        <v>128068.75032000001</v>
      </c>
      <c r="AA96" s="1">
        <v>135986.56375999999</v>
      </c>
      <c r="AB96" s="1">
        <v>149769.95000000001</v>
      </c>
      <c r="AC96" s="1"/>
    </row>
    <row r="97" spans="2:29">
      <c r="B97" s="18" t="s">
        <v>13</v>
      </c>
      <c r="C97" s="18" t="s">
        <v>88</v>
      </c>
      <c r="D97" s="18">
        <f t="shared" ref="D97:M97" si="58">D135*$E174</f>
        <v>5399.0254940988934</v>
      </c>
      <c r="E97" s="18">
        <f t="shared" si="58"/>
        <v>7338.4970778471861</v>
      </c>
      <c r="F97" s="18">
        <f t="shared" si="58"/>
        <v>7625.2198842854368</v>
      </c>
      <c r="G97" s="18">
        <f t="shared" si="58"/>
        <v>7686.7068465997518</v>
      </c>
      <c r="H97" s="18">
        <f t="shared" si="58"/>
        <v>7607.511264130465</v>
      </c>
      <c r="I97" s="18">
        <f t="shared" si="58"/>
        <v>7719.8265832204988</v>
      </c>
      <c r="J97" s="18">
        <f t="shared" si="58"/>
        <v>8493.4769473876331</v>
      </c>
      <c r="K97" s="18">
        <f t="shared" si="58"/>
        <v>9095.1021374989377</v>
      </c>
      <c r="L97" s="18">
        <f t="shared" si="58"/>
        <v>9774.2965272809033</v>
      </c>
      <c r="M97" s="18">
        <f t="shared" si="58"/>
        <v>10084.421303307465</v>
      </c>
      <c r="N97" s="1">
        <v>10770.818740000001</v>
      </c>
      <c r="O97" s="1">
        <v>11490.15824139</v>
      </c>
      <c r="P97" s="1">
        <v>13875.61598649</v>
      </c>
      <c r="Q97" s="1">
        <v>15114.766879999999</v>
      </c>
      <c r="R97" s="1">
        <v>14568.39162</v>
      </c>
      <c r="S97" s="1">
        <v>15441.893410000001</v>
      </c>
      <c r="T97" s="1">
        <v>16091.539489999999</v>
      </c>
      <c r="U97" s="1">
        <v>16103.902169999999</v>
      </c>
      <c r="V97" s="1">
        <v>15426.339620000001</v>
      </c>
      <c r="W97" s="1">
        <v>15567.85527</v>
      </c>
      <c r="X97" s="1">
        <v>11645.57087</v>
      </c>
      <c r="Y97" s="1">
        <v>12596.68694</v>
      </c>
      <c r="Z97" s="1">
        <v>12514.37379</v>
      </c>
      <c r="AA97" s="1">
        <v>11059.80636</v>
      </c>
      <c r="AB97" s="1">
        <v>5850.69</v>
      </c>
      <c r="AC97" s="1"/>
    </row>
    <row r="98" spans="2:29">
      <c r="B98" s="18" t="s">
        <v>30</v>
      </c>
      <c r="C98" s="18" t="s">
        <v>88</v>
      </c>
      <c r="D98" s="18">
        <f t="shared" ref="D98:M98" si="59">D136*$E175</f>
        <v>4717.0603789241241</v>
      </c>
      <c r="E98" s="18">
        <f t="shared" si="59"/>
        <v>3657.9396097687727</v>
      </c>
      <c r="F98" s="18">
        <f t="shared" si="59"/>
        <v>4021.1768418456695</v>
      </c>
      <c r="G98" s="18">
        <f t="shared" si="59"/>
        <v>3845.0826610672079</v>
      </c>
      <c r="H98" s="18">
        <f t="shared" si="59"/>
        <v>4592.4110719607079</v>
      </c>
      <c r="I98" s="18">
        <f t="shared" si="59"/>
        <v>4945.9812995337934</v>
      </c>
      <c r="J98" s="18">
        <f t="shared" si="59"/>
        <v>5432.2723896085781</v>
      </c>
      <c r="K98" s="18">
        <f t="shared" si="59"/>
        <v>5881.4533116792336</v>
      </c>
      <c r="L98" s="18">
        <f t="shared" si="59"/>
        <v>6413.8868830231859</v>
      </c>
      <c r="M98" s="18">
        <f t="shared" si="59"/>
        <v>7107.0119101463188</v>
      </c>
      <c r="N98" s="1">
        <v>7977.2397099999998</v>
      </c>
      <c r="O98" s="1">
        <v>11621.14119</v>
      </c>
      <c r="P98" s="1">
        <v>12742.73475</v>
      </c>
      <c r="Q98" s="1">
        <v>13807.61915</v>
      </c>
      <c r="R98" s="1">
        <v>16283.860919999999</v>
      </c>
      <c r="S98" s="1">
        <v>21112.002809999998</v>
      </c>
      <c r="T98" s="1">
        <v>23917.597269999998</v>
      </c>
      <c r="U98" s="1">
        <v>25885.157930000001</v>
      </c>
      <c r="V98" s="1">
        <v>20049.7327</v>
      </c>
      <c r="W98" s="1">
        <v>26630.043850000002</v>
      </c>
      <c r="X98" s="1">
        <v>34159.4</v>
      </c>
      <c r="Y98" s="1">
        <v>67499.429999999993</v>
      </c>
      <c r="Z98" s="1">
        <v>113202.01502837788</v>
      </c>
      <c r="AA98" s="1">
        <v>128909.00587941785</v>
      </c>
      <c r="AB98" s="1">
        <v>141419.84303241421</v>
      </c>
      <c r="AC98" s="1"/>
    </row>
    <row r="99" spans="2:29">
      <c r="B99" s="18" t="s">
        <v>31</v>
      </c>
      <c r="C99" s="18" t="s">
        <v>88</v>
      </c>
      <c r="D99" s="18">
        <f t="shared" ref="D99:M99" si="60">D137*$E176</f>
        <v>23188.096284741918</v>
      </c>
      <c r="E99" s="18">
        <f t="shared" si="60"/>
        <v>23393.371664091756</v>
      </c>
      <c r="F99" s="18">
        <f t="shared" si="60"/>
        <v>24117.740700370945</v>
      </c>
      <c r="G99" s="18">
        <f t="shared" si="60"/>
        <v>24330.905644882609</v>
      </c>
      <c r="H99" s="18">
        <f t="shared" si="60"/>
        <v>26618.524228486127</v>
      </c>
      <c r="I99" s="18">
        <f t="shared" si="60"/>
        <v>29875.346534236043</v>
      </c>
      <c r="J99" s="18">
        <f t="shared" si="60"/>
        <v>31441.959529966731</v>
      </c>
      <c r="K99" s="18">
        <f t="shared" si="60"/>
        <v>33051.20291617723</v>
      </c>
      <c r="L99" s="18">
        <f t="shared" si="60"/>
        <v>34379.598150906619</v>
      </c>
      <c r="M99" s="18">
        <f t="shared" si="60"/>
        <v>35747.291005859253</v>
      </c>
      <c r="N99" s="1">
        <v>36180.682150000001</v>
      </c>
      <c r="O99" s="1">
        <v>29628.86578</v>
      </c>
      <c r="P99" s="1">
        <v>30802.615330000001</v>
      </c>
      <c r="Q99" s="1">
        <v>28266.501799999998</v>
      </c>
      <c r="R99" s="1">
        <v>25478.013800000001</v>
      </c>
      <c r="S99" s="1">
        <v>25478.811839999998</v>
      </c>
      <c r="T99" s="1">
        <v>26759.041590000001</v>
      </c>
      <c r="U99" s="1">
        <v>27087.78602</v>
      </c>
      <c r="V99" s="1">
        <v>29821.90756</v>
      </c>
      <c r="W99" s="1">
        <v>34449.962659999997</v>
      </c>
      <c r="X99" s="1">
        <v>33625.751839999997</v>
      </c>
      <c r="Y99" s="1">
        <v>36161.248760000002</v>
      </c>
      <c r="Z99" s="1">
        <v>44202.479059999998</v>
      </c>
      <c r="AA99" s="1">
        <v>43470.705860000002</v>
      </c>
      <c r="AB99" s="1">
        <v>45151</v>
      </c>
      <c r="AC99" s="1"/>
    </row>
    <row r="100" spans="2:29">
      <c r="B100" s="18" t="s">
        <v>32</v>
      </c>
      <c r="C100" s="18" t="s">
        <v>88</v>
      </c>
      <c r="D100" s="18">
        <f t="shared" ref="D100:M100" si="61">D138*$E177</f>
        <v>8463.0076941539592</v>
      </c>
      <c r="E100" s="18">
        <f t="shared" si="61"/>
        <v>10026.84774606278</v>
      </c>
      <c r="F100" s="18">
        <f t="shared" si="61"/>
        <v>11053.717523082712</v>
      </c>
      <c r="G100" s="18">
        <f t="shared" si="61"/>
        <v>11086.080926049508</v>
      </c>
      <c r="H100" s="18">
        <f t="shared" si="61"/>
        <v>13314.675605417437</v>
      </c>
      <c r="I100" s="18">
        <f t="shared" si="61"/>
        <v>15371.303055070619</v>
      </c>
      <c r="J100" s="18">
        <f t="shared" si="61"/>
        <v>17188.965494724103</v>
      </c>
      <c r="K100" s="18">
        <f t="shared" si="61"/>
        <v>18934.081371859789</v>
      </c>
      <c r="L100" s="18">
        <f t="shared" si="61"/>
        <v>20076.23231852067</v>
      </c>
      <c r="M100" s="18">
        <f t="shared" si="61"/>
        <v>20175.002485269317</v>
      </c>
      <c r="N100" s="1">
        <v>21481.661146679999</v>
      </c>
      <c r="O100" s="1">
        <v>25619.90194638</v>
      </c>
      <c r="P100" s="1">
        <v>30339.042573890001</v>
      </c>
      <c r="Q100" s="1">
        <v>28489.397239999998</v>
      </c>
      <c r="R100" s="1">
        <v>33829.797059999997</v>
      </c>
      <c r="S100" s="1">
        <v>42262.370439999999</v>
      </c>
      <c r="T100" s="1">
        <v>40039.738100000002</v>
      </c>
      <c r="U100" s="1">
        <v>41332.050490000001</v>
      </c>
      <c r="V100" s="1">
        <v>44139.775670000003</v>
      </c>
      <c r="W100" s="1">
        <v>45521.905279999999</v>
      </c>
      <c r="X100" s="1">
        <v>37909.275390000003</v>
      </c>
      <c r="Y100" s="1">
        <v>37135.859859999997</v>
      </c>
      <c r="Z100" s="1">
        <v>36191.149709999998</v>
      </c>
      <c r="AA100" s="1">
        <v>38205.062680000003</v>
      </c>
      <c r="AB100" s="1">
        <v>39406.45362</v>
      </c>
      <c r="AC100" s="1"/>
    </row>
    <row r="101" spans="2:29">
      <c r="B101" s="18" t="s">
        <v>14</v>
      </c>
      <c r="C101" s="18" t="s">
        <v>88</v>
      </c>
      <c r="D101" s="18">
        <f t="shared" ref="D101:M101" si="62">D139*$E178</f>
        <v>6245.0231441532042</v>
      </c>
      <c r="E101" s="18">
        <f t="shared" si="62"/>
        <v>5841.4013990568665</v>
      </c>
      <c r="F101" s="18">
        <f t="shared" si="62"/>
        <v>5153.9289948586029</v>
      </c>
      <c r="G101" s="18">
        <f t="shared" si="62"/>
        <v>5579.5809722056538</v>
      </c>
      <c r="H101" s="18">
        <f t="shared" si="62"/>
        <v>5645.3897575885667</v>
      </c>
      <c r="I101" s="18">
        <f t="shared" si="62"/>
        <v>6378.1171728950158</v>
      </c>
      <c r="J101" s="18">
        <f t="shared" si="62"/>
        <v>7816.6250936302349</v>
      </c>
      <c r="K101" s="18">
        <f t="shared" si="62"/>
        <v>7279.8954930003792</v>
      </c>
      <c r="L101" s="18">
        <f t="shared" si="62"/>
        <v>8516.9271696421984</v>
      </c>
      <c r="M101" s="18">
        <f t="shared" si="62"/>
        <v>8693.3121073108232</v>
      </c>
      <c r="N101" s="1">
        <v>9740.4853773899995</v>
      </c>
      <c r="O101" s="1">
        <v>10153.36048085</v>
      </c>
      <c r="P101" s="1">
        <v>9271.3615860499995</v>
      </c>
      <c r="Q101" s="1">
        <v>5451.8470792799999</v>
      </c>
      <c r="R101" s="1">
        <v>11190.90476291</v>
      </c>
      <c r="S101" s="1">
        <v>8896.5661500000006</v>
      </c>
      <c r="T101" s="1">
        <v>9309.0774399999991</v>
      </c>
      <c r="U101" s="1">
        <v>5955.4403700000003</v>
      </c>
      <c r="V101" s="1">
        <v>6446.7788899999996</v>
      </c>
      <c r="W101" s="1">
        <v>4474.0625300000002</v>
      </c>
      <c r="X101" s="1">
        <v>2793.7609000000002</v>
      </c>
      <c r="Y101" s="1">
        <v>4275.8621400000002</v>
      </c>
      <c r="Z101" s="1">
        <v>21854.390339999998</v>
      </c>
      <c r="AA101" s="1">
        <v>37006.199430000001</v>
      </c>
      <c r="AB101" s="1">
        <v>79783.389999999985</v>
      </c>
      <c r="AC101" s="1"/>
    </row>
    <row r="102" spans="2:29">
      <c r="B102" s="18" t="s">
        <v>33</v>
      </c>
      <c r="C102" s="18" t="s">
        <v>88</v>
      </c>
      <c r="D102" s="18">
        <f t="shared" ref="D102:M102" si="63">D140*$E179</f>
        <v>0</v>
      </c>
      <c r="E102" s="18">
        <f t="shared" si="63"/>
        <v>0</v>
      </c>
      <c r="F102" s="18">
        <f t="shared" si="63"/>
        <v>18615.467442035297</v>
      </c>
      <c r="G102" s="18">
        <f t="shared" si="63"/>
        <v>17216.663410537501</v>
      </c>
      <c r="H102" s="18">
        <f t="shared" si="63"/>
        <v>16250.920008669671</v>
      </c>
      <c r="I102" s="18">
        <f t="shared" si="63"/>
        <v>19517.32345603366</v>
      </c>
      <c r="J102" s="18">
        <f t="shared" si="63"/>
        <v>23007.707179610094</v>
      </c>
      <c r="K102" s="18">
        <f t="shared" si="63"/>
        <v>23344.924427137339</v>
      </c>
      <c r="L102" s="18">
        <f t="shared" si="63"/>
        <v>22404.241659525964</v>
      </c>
      <c r="M102" s="18">
        <f t="shared" si="63"/>
        <v>17084.985964652249</v>
      </c>
      <c r="N102" s="1">
        <v>17733.976309999998</v>
      </c>
      <c r="O102" s="1">
        <v>8823.6910805799998</v>
      </c>
      <c r="P102" s="1">
        <v>17904.817462949999</v>
      </c>
      <c r="Q102" s="1">
        <v>11284.07633</v>
      </c>
      <c r="R102" s="1">
        <v>14663.04074</v>
      </c>
      <c r="S102" s="1">
        <v>22093.10039</v>
      </c>
      <c r="T102" s="1">
        <v>21200.5658</v>
      </c>
      <c r="U102" s="1">
        <v>24686.93622</v>
      </c>
      <c r="V102" s="1">
        <v>26803.068350000001</v>
      </c>
      <c r="W102" s="1">
        <v>24952.184450000001</v>
      </c>
      <c r="X102" s="1">
        <v>21835.640670000001</v>
      </c>
      <c r="Y102" s="1">
        <v>16082.19292</v>
      </c>
      <c r="Z102" s="1">
        <v>28778.68</v>
      </c>
      <c r="AA102" s="1">
        <v>21434.2</v>
      </c>
      <c r="AB102" s="1">
        <v>19992.559999999998</v>
      </c>
      <c r="AC102" s="1"/>
    </row>
    <row r="103" spans="2:29">
      <c r="B103" s="18" t="s">
        <v>4</v>
      </c>
      <c r="C103" s="18" t="s">
        <v>88</v>
      </c>
      <c r="D103" s="18">
        <f t="shared" ref="D103:M103" si="64">D141*$E180</f>
        <v>54216.148965566535</v>
      </c>
      <c r="E103" s="18">
        <f t="shared" si="64"/>
        <v>51298.926492665807</v>
      </c>
      <c r="F103" s="18">
        <f t="shared" si="64"/>
        <v>50898.567427958762</v>
      </c>
      <c r="G103" s="18">
        <f t="shared" si="64"/>
        <v>39895.84959005141</v>
      </c>
      <c r="H103" s="18">
        <f t="shared" si="64"/>
        <v>42707.284560750959</v>
      </c>
      <c r="I103" s="18">
        <f t="shared" si="64"/>
        <v>48275.346973606524</v>
      </c>
      <c r="J103" s="18">
        <f t="shared" si="64"/>
        <v>53255.145777911683</v>
      </c>
      <c r="K103" s="18">
        <f t="shared" si="64"/>
        <v>58360.432440932986</v>
      </c>
      <c r="L103" s="18">
        <f t="shared" si="64"/>
        <v>63392.750856166414</v>
      </c>
      <c r="M103" s="18">
        <f t="shared" si="64"/>
        <v>67325.118848091413</v>
      </c>
      <c r="N103" s="1">
        <v>73158.331179999994</v>
      </c>
      <c r="O103" s="1">
        <v>122324.37573</v>
      </c>
      <c r="P103" s="1">
        <v>150552.28550999999</v>
      </c>
      <c r="Q103" s="1">
        <v>142392.02768</v>
      </c>
      <c r="R103" s="1">
        <v>96083.702950000006</v>
      </c>
      <c r="S103" s="1">
        <v>58906.877059999999</v>
      </c>
      <c r="T103" s="1">
        <v>42294.336239999997</v>
      </c>
      <c r="U103" s="1">
        <v>63680.857250000001</v>
      </c>
      <c r="V103" s="1">
        <v>67378.677630000006</v>
      </c>
      <c r="W103" s="1">
        <v>66683.147119999994</v>
      </c>
      <c r="X103" s="1">
        <v>77890.365560000006</v>
      </c>
      <c r="Y103" s="1">
        <v>131990.47153000001</v>
      </c>
      <c r="Z103" s="1">
        <v>173960.28</v>
      </c>
      <c r="AA103" s="1">
        <v>179971.5</v>
      </c>
      <c r="AB103" s="1">
        <v>183072.84</v>
      </c>
      <c r="AC103" s="1"/>
    </row>
    <row r="104" spans="2:29">
      <c r="B104" s="18" t="s">
        <v>34</v>
      </c>
      <c r="C104" s="18" t="s">
        <v>88</v>
      </c>
      <c r="D104" s="18">
        <f t="shared" ref="D104:M104" si="65">D142*$E181</f>
        <v>0</v>
      </c>
      <c r="E104" s="18">
        <f t="shared" si="65"/>
        <v>0</v>
      </c>
      <c r="F104" s="18">
        <f t="shared" si="65"/>
        <v>0</v>
      </c>
      <c r="G104" s="18">
        <f t="shared" si="65"/>
        <v>0</v>
      </c>
      <c r="H104" s="18">
        <f t="shared" si="65"/>
        <v>4882.5165283226179</v>
      </c>
      <c r="I104" s="18">
        <f t="shared" si="65"/>
        <v>5038.014767388473</v>
      </c>
      <c r="J104" s="18">
        <f t="shared" si="65"/>
        <v>5958.1759069337368</v>
      </c>
      <c r="K104" s="18">
        <f t="shared" si="65"/>
        <v>7229.0442917374485</v>
      </c>
      <c r="L104" s="18">
        <f t="shared" si="65"/>
        <v>8860.2676030596194</v>
      </c>
      <c r="M104" s="18">
        <f t="shared" si="65"/>
        <v>9711.0374225635005</v>
      </c>
      <c r="N104" s="1">
        <v>10861.96075</v>
      </c>
      <c r="O104" s="1">
        <v>12134.38825</v>
      </c>
      <c r="P104" s="1">
        <v>12769.76505</v>
      </c>
      <c r="Q104" s="1">
        <v>12225.509700000001</v>
      </c>
      <c r="R104" s="1">
        <v>11947.35973</v>
      </c>
      <c r="S104" s="1">
        <v>12490.81538</v>
      </c>
      <c r="T104" s="1">
        <v>12811.53681</v>
      </c>
      <c r="U104" s="1">
        <v>12728.588</v>
      </c>
      <c r="V104" s="1">
        <v>13587.223239999999</v>
      </c>
      <c r="W104" s="1">
        <v>14055.158170000001</v>
      </c>
      <c r="X104" s="1">
        <v>12048.595649999999</v>
      </c>
      <c r="Y104" s="1">
        <v>12470.875099999999</v>
      </c>
      <c r="Z104" s="1">
        <v>12651.064200000001</v>
      </c>
      <c r="AA104" s="1">
        <v>12628.897779999999</v>
      </c>
      <c r="AB104" s="1">
        <v>12983</v>
      </c>
      <c r="AC104" s="1"/>
    </row>
    <row r="105" spans="2:29">
      <c r="B105" s="18" t="s">
        <v>35</v>
      </c>
      <c r="C105" s="18" t="s">
        <v>88</v>
      </c>
      <c r="D105" s="18">
        <f t="shared" ref="D105:M105" si="66">D143*$E182</f>
        <v>18598.902785389721</v>
      </c>
      <c r="E105" s="18">
        <f t="shared" si="66"/>
        <v>27326.183691280439</v>
      </c>
      <c r="F105" s="18">
        <f t="shared" si="66"/>
        <v>20779.449957764453</v>
      </c>
      <c r="G105" s="18">
        <f t="shared" si="66"/>
        <v>20570.620415880607</v>
      </c>
      <c r="H105" s="18">
        <f t="shared" si="66"/>
        <v>35392.784185762335</v>
      </c>
      <c r="I105" s="18">
        <f t="shared" si="66"/>
        <v>41945.376558032636</v>
      </c>
      <c r="J105" s="18">
        <f t="shared" si="66"/>
        <v>41769.146374844531</v>
      </c>
      <c r="K105" s="18">
        <f t="shared" si="66"/>
        <v>56605.90454341127</v>
      </c>
      <c r="L105" s="18">
        <f t="shared" si="66"/>
        <v>50197.346213093639</v>
      </c>
      <c r="M105" s="18">
        <f t="shared" si="66"/>
        <v>44165.906024445074</v>
      </c>
      <c r="N105" s="1">
        <v>68478.676600000006</v>
      </c>
      <c r="O105" s="1">
        <v>63987.087599999999</v>
      </c>
      <c r="P105" s="1">
        <v>67749.277000000002</v>
      </c>
      <c r="Q105" s="1">
        <v>67960.831099999996</v>
      </c>
      <c r="R105" s="1">
        <v>69157.543900000004</v>
      </c>
      <c r="S105" s="1">
        <v>67652.461599999995</v>
      </c>
      <c r="T105" s="1">
        <v>43552.57</v>
      </c>
      <c r="U105" s="1">
        <v>35945.31</v>
      </c>
      <c r="V105" s="1">
        <v>35034.199999999997</v>
      </c>
      <c r="W105" s="1">
        <v>32698.71</v>
      </c>
      <c r="X105" s="1">
        <v>34641.279999999999</v>
      </c>
      <c r="Y105" s="1">
        <v>36410.480000000003</v>
      </c>
      <c r="Z105" s="1">
        <v>47790.25</v>
      </c>
      <c r="AA105" s="1">
        <v>44880.44</v>
      </c>
      <c r="AB105" s="1">
        <v>45665.1</v>
      </c>
      <c r="AC105" s="1"/>
    </row>
    <row r="106" spans="2:29">
      <c r="B106" s="18" t="s">
        <v>36</v>
      </c>
      <c r="C106" s="18" t="s">
        <v>88</v>
      </c>
      <c r="D106" s="18">
        <f t="shared" ref="D106:M106" si="67">D144*$E183</f>
        <v>9611.3461506895619</v>
      </c>
      <c r="E106" s="18">
        <f t="shared" si="67"/>
        <v>9836.9670887907323</v>
      </c>
      <c r="F106" s="18">
        <f t="shared" si="67"/>
        <v>10158.800374915265</v>
      </c>
      <c r="G106" s="18">
        <f t="shared" si="67"/>
        <v>10326.00583489087</v>
      </c>
      <c r="H106" s="18">
        <f t="shared" si="67"/>
        <v>10622.645760890719</v>
      </c>
      <c r="I106" s="18">
        <f t="shared" si="67"/>
        <v>10982.183090562472</v>
      </c>
      <c r="J106" s="18">
        <f t="shared" si="67"/>
        <v>11527.678534501434</v>
      </c>
      <c r="K106" s="18">
        <f t="shared" si="67"/>
        <v>20075.360624411176</v>
      </c>
      <c r="L106" s="18">
        <f t="shared" si="67"/>
        <v>21190.874117861924</v>
      </c>
      <c r="M106" s="18">
        <f t="shared" si="67"/>
        <v>21982.160655853797</v>
      </c>
      <c r="N106" s="1">
        <v>22265.564409999999</v>
      </c>
      <c r="O106" s="1">
        <v>25524.337414670001</v>
      </c>
      <c r="P106" s="1">
        <v>31022.255691359998</v>
      </c>
      <c r="Q106" s="1">
        <v>27617.714380000001</v>
      </c>
      <c r="R106" s="1">
        <v>31191.00863</v>
      </c>
      <c r="S106" s="1">
        <v>33672.917679999999</v>
      </c>
      <c r="T106" s="1">
        <v>48957.197260000001</v>
      </c>
      <c r="U106" s="1">
        <v>49755.472710000002</v>
      </c>
      <c r="V106" s="1">
        <v>88668.715519999998</v>
      </c>
      <c r="W106" s="1">
        <v>99460.160239999997</v>
      </c>
      <c r="X106" s="1">
        <v>118935.14233</v>
      </c>
      <c r="Y106" s="1">
        <v>142914.13806999999</v>
      </c>
      <c r="Z106" s="1">
        <v>175184.63673999999</v>
      </c>
      <c r="AA106" s="1">
        <v>195564.53</v>
      </c>
      <c r="AB106" s="1">
        <v>227875.36</v>
      </c>
      <c r="AC106" s="1"/>
    </row>
    <row r="107" spans="2:29">
      <c r="B107" s="18" t="s">
        <v>37</v>
      </c>
      <c r="C107" s="18" t="s">
        <v>88</v>
      </c>
      <c r="D107" s="18">
        <f t="shared" ref="D107:M107" si="68">D145*$E184</f>
        <v>4325.8315390599028</v>
      </c>
      <c r="E107" s="18">
        <f t="shared" si="68"/>
        <v>4755.4372830670109</v>
      </c>
      <c r="F107" s="18">
        <f t="shared" si="68"/>
        <v>5031.6757178766575</v>
      </c>
      <c r="G107" s="18">
        <f t="shared" si="68"/>
        <v>5592.9992047673913</v>
      </c>
      <c r="H107" s="18">
        <f t="shared" si="68"/>
        <v>7654.6611157658435</v>
      </c>
      <c r="I107" s="18">
        <f t="shared" si="68"/>
        <v>9031.0362072610023</v>
      </c>
      <c r="J107" s="18">
        <f t="shared" si="68"/>
        <v>12773.831564762395</v>
      </c>
      <c r="K107" s="18">
        <f t="shared" si="68"/>
        <v>13510.287417461257</v>
      </c>
      <c r="L107" s="18">
        <f t="shared" si="68"/>
        <v>14002.732984240853</v>
      </c>
      <c r="M107" s="18">
        <f t="shared" si="68"/>
        <v>15283.532699118692</v>
      </c>
      <c r="N107" s="1">
        <v>17691.915290000001</v>
      </c>
      <c r="O107" s="1">
        <v>20898.175490000001</v>
      </c>
      <c r="P107" s="1">
        <v>22566.406579999999</v>
      </c>
      <c r="Q107" s="1">
        <v>21973.252629999999</v>
      </c>
      <c r="R107" s="1">
        <v>20173.435399999998</v>
      </c>
      <c r="S107" s="1">
        <v>11624.174000000001</v>
      </c>
      <c r="T107" s="1">
        <v>10962.080599999999</v>
      </c>
      <c r="U107" s="1">
        <v>14151.90904</v>
      </c>
      <c r="V107" s="1">
        <v>21334.315190000001</v>
      </c>
      <c r="W107" s="1">
        <v>28576.24034</v>
      </c>
      <c r="X107" s="1">
        <v>39638.024129999998</v>
      </c>
      <c r="Y107" s="1">
        <v>61716.377740000004</v>
      </c>
      <c r="Z107" s="1">
        <v>69916.187109999999</v>
      </c>
      <c r="AA107" s="1">
        <v>58526.407760000002</v>
      </c>
      <c r="AB107" s="1">
        <v>53037.113420000001</v>
      </c>
      <c r="AC107" s="1"/>
    </row>
    <row r="108" spans="2:29">
      <c r="B108" s="18" t="s">
        <v>38</v>
      </c>
      <c r="C108" s="18" t="s">
        <v>88</v>
      </c>
      <c r="D108" s="18">
        <f t="shared" ref="D108:M108" si="69">D146*$E185</f>
        <v>6602.3923646030735</v>
      </c>
      <c r="E108" s="18">
        <f t="shared" si="69"/>
        <v>3770.9506147021261</v>
      </c>
      <c r="F108" s="18">
        <f t="shared" si="69"/>
        <v>3942.5888758935666</v>
      </c>
      <c r="G108" s="18">
        <f t="shared" si="69"/>
        <v>5330.1190784519331</v>
      </c>
      <c r="H108" s="18">
        <f t="shared" si="69"/>
        <v>8963.0307641553973</v>
      </c>
      <c r="I108" s="18">
        <f t="shared" si="69"/>
        <v>10427.205254398319</v>
      </c>
      <c r="J108" s="18">
        <f t="shared" si="69"/>
        <v>10145.668246630727</v>
      </c>
      <c r="K108" s="18">
        <f t="shared" si="69"/>
        <v>10949.74753087086</v>
      </c>
      <c r="L108" s="18">
        <f t="shared" si="69"/>
        <v>13304.898832444082</v>
      </c>
      <c r="M108" s="18">
        <f t="shared" si="69"/>
        <v>12968.458584922579</v>
      </c>
      <c r="N108" s="1">
        <v>15105.779</v>
      </c>
      <c r="O108" s="1">
        <v>22884.602999999999</v>
      </c>
      <c r="P108" s="1">
        <v>27897.861000000001</v>
      </c>
      <c r="Q108" s="1">
        <v>22218.039000000001</v>
      </c>
      <c r="R108" s="1">
        <v>25072.228999999999</v>
      </c>
      <c r="S108" s="1">
        <v>21575.440999999999</v>
      </c>
      <c r="T108" s="1">
        <v>23428.114000000001</v>
      </c>
      <c r="U108" s="1">
        <v>23258.127</v>
      </c>
      <c r="V108" s="1">
        <v>24730.781999999999</v>
      </c>
      <c r="W108" s="1">
        <v>24468.227999999999</v>
      </c>
      <c r="X108" s="1">
        <v>21659.802</v>
      </c>
      <c r="Y108" s="1">
        <v>23988.865089999999</v>
      </c>
      <c r="Z108" s="1">
        <v>23487.286270000001</v>
      </c>
      <c r="AA108" s="1">
        <v>23580.668720000001</v>
      </c>
      <c r="AB108" s="1">
        <v>23530.862000000001</v>
      </c>
      <c r="AC108" s="1"/>
    </row>
    <row r="109" spans="2:29">
      <c r="B109" s="18" t="s">
        <v>39</v>
      </c>
      <c r="C109" s="18" t="s">
        <v>88</v>
      </c>
      <c r="D109" s="18">
        <f t="shared" ref="D109:M109" si="70">D147*$E186</f>
        <v>21104.468084227661</v>
      </c>
      <c r="E109" s="18">
        <f t="shared" si="70"/>
        <v>18231.6941148681</v>
      </c>
      <c r="F109" s="18">
        <f t="shared" si="70"/>
        <v>17913.257574803629</v>
      </c>
      <c r="G109" s="18">
        <f t="shared" si="70"/>
        <v>22705.000931784769</v>
      </c>
      <c r="H109" s="18">
        <f t="shared" si="70"/>
        <v>22784.930307193717</v>
      </c>
      <c r="I109" s="18">
        <f t="shared" si="70"/>
        <v>31382.310842665276</v>
      </c>
      <c r="J109" s="18">
        <f t="shared" si="70"/>
        <v>34239.748475579792</v>
      </c>
      <c r="K109" s="18">
        <f t="shared" si="70"/>
        <v>47008.301388949396</v>
      </c>
      <c r="L109" s="18">
        <f t="shared" si="70"/>
        <v>67924.513614539275</v>
      </c>
      <c r="M109" s="18">
        <f t="shared" si="70"/>
        <v>66506.50431920345</v>
      </c>
      <c r="N109" s="1">
        <v>72440.347110000002</v>
      </c>
      <c r="O109" s="1">
        <v>81334.430489999999</v>
      </c>
      <c r="P109" s="1">
        <v>131909.61248000001</v>
      </c>
      <c r="Q109" s="1">
        <v>55388.116719999998</v>
      </c>
      <c r="R109" s="1">
        <v>92359.372629999998</v>
      </c>
      <c r="S109" s="1">
        <v>85079.151629999993</v>
      </c>
      <c r="T109" s="1">
        <v>85154.256359999999</v>
      </c>
      <c r="U109" s="1">
        <v>88634.019629999995</v>
      </c>
      <c r="V109" s="1">
        <v>91965.664730000004</v>
      </c>
      <c r="W109" s="1">
        <v>93840.484840000005</v>
      </c>
      <c r="X109" s="1">
        <v>72768.678109999993</v>
      </c>
      <c r="Y109" s="1">
        <v>74090.668189999997</v>
      </c>
      <c r="Z109" s="1">
        <v>77800.39</v>
      </c>
      <c r="AA109" s="1">
        <v>83412.62</v>
      </c>
      <c r="AB109" s="1">
        <v>96791</v>
      </c>
      <c r="AC109" s="1"/>
    </row>
    <row r="110" spans="2:29">
      <c r="B110" s="18" t="s">
        <v>40</v>
      </c>
      <c r="C110" s="18" t="s">
        <v>88</v>
      </c>
      <c r="D110" s="18">
        <f t="shared" ref="D110:M110" si="71">D148*$E187</f>
        <v>41730.73543726762</v>
      </c>
      <c r="E110" s="18">
        <f t="shared" si="71"/>
        <v>42302.783294164146</v>
      </c>
      <c r="F110" s="18">
        <f t="shared" si="71"/>
        <v>44708.491516864793</v>
      </c>
      <c r="G110" s="18">
        <f t="shared" si="71"/>
        <v>41289.252542289876</v>
      </c>
      <c r="H110" s="18">
        <f t="shared" si="71"/>
        <v>45562.489145214087</v>
      </c>
      <c r="I110" s="18">
        <f t="shared" si="71"/>
        <v>49212.350756044296</v>
      </c>
      <c r="J110" s="18">
        <f t="shared" si="71"/>
        <v>51381.797709207887</v>
      </c>
      <c r="K110" s="18">
        <f t="shared" si="71"/>
        <v>57133.558560952806</v>
      </c>
      <c r="L110" s="18">
        <f t="shared" si="71"/>
        <v>62026.012705099187</v>
      </c>
      <c r="M110" s="18">
        <f t="shared" si="71"/>
        <v>67509.005946692327</v>
      </c>
      <c r="N110" s="1">
        <v>80477.129400000005</v>
      </c>
      <c r="O110" s="1">
        <v>95539.792619999993</v>
      </c>
      <c r="P110" s="1">
        <v>109755.329</v>
      </c>
      <c r="Q110" s="1">
        <v>113060.86676</v>
      </c>
      <c r="R110" s="1">
        <v>124225.88691</v>
      </c>
      <c r="S110" s="1">
        <v>118377.73405</v>
      </c>
      <c r="T110" s="1">
        <v>117787.51109</v>
      </c>
      <c r="U110" s="1">
        <v>141251.29224000001</v>
      </c>
      <c r="V110" s="1">
        <v>150938.59354</v>
      </c>
      <c r="W110" s="1">
        <v>121741.67954</v>
      </c>
      <c r="X110" s="1">
        <v>101631.87328</v>
      </c>
      <c r="Y110" s="1">
        <v>99144.645789999995</v>
      </c>
      <c r="Z110" s="1">
        <v>130453.28</v>
      </c>
      <c r="AA110" s="1">
        <v>123713.48</v>
      </c>
      <c r="AB110" s="1">
        <v>113342.81</v>
      </c>
      <c r="AC110" s="1"/>
    </row>
    <row r="111" spans="2:29">
      <c r="B111" s="18" t="s">
        <v>41</v>
      </c>
      <c r="C111" s="18" t="s">
        <v>88</v>
      </c>
      <c r="D111" s="18">
        <f t="shared" ref="D111:M111" si="72">D149*$E188</f>
        <v>44430.017393818125</v>
      </c>
      <c r="E111" s="18">
        <f t="shared" si="72"/>
        <v>46552.849102102664</v>
      </c>
      <c r="F111" s="18">
        <f t="shared" si="72"/>
        <v>48662.174177899898</v>
      </c>
      <c r="G111" s="18">
        <f t="shared" si="72"/>
        <v>47318.750348713227</v>
      </c>
      <c r="H111" s="18">
        <f t="shared" si="72"/>
        <v>58050.48435171762</v>
      </c>
      <c r="I111" s="18">
        <f t="shared" si="72"/>
        <v>66603.317714970108</v>
      </c>
      <c r="J111" s="18">
        <f t="shared" si="72"/>
        <v>73702.612646533526</v>
      </c>
      <c r="K111" s="18">
        <f t="shared" si="72"/>
        <v>88797.105921819602</v>
      </c>
      <c r="L111" s="18">
        <f t="shared" si="72"/>
        <v>104416.58622240824</v>
      </c>
      <c r="M111" s="18">
        <f t="shared" si="72"/>
        <v>107086.00302466852</v>
      </c>
      <c r="N111" s="1">
        <v>122546.49842</v>
      </c>
      <c r="O111" s="1">
        <v>130765.51848</v>
      </c>
      <c r="P111" s="1">
        <v>143814.32394</v>
      </c>
      <c r="Q111" s="1">
        <v>145391.15005</v>
      </c>
      <c r="R111" s="1">
        <v>156672.44206999999</v>
      </c>
      <c r="S111" s="1">
        <v>150276.35415999999</v>
      </c>
      <c r="T111" s="1">
        <v>146923.82295</v>
      </c>
      <c r="U111" s="1">
        <v>156909.03245</v>
      </c>
      <c r="V111" s="1">
        <v>173072.38110999999</v>
      </c>
      <c r="W111" s="1">
        <v>166432.46932</v>
      </c>
      <c r="X111" s="1">
        <v>141711.04902000001</v>
      </c>
      <c r="Y111" s="1">
        <v>167677.23876000001</v>
      </c>
      <c r="Z111" s="1">
        <v>186490.72891999999</v>
      </c>
      <c r="AA111" s="1">
        <v>182912.03</v>
      </c>
      <c r="AB111" s="1">
        <v>205537.39</v>
      </c>
      <c r="AC111" s="1"/>
    </row>
    <row r="113" spans="1:13">
      <c r="B113" s="16" t="s">
        <v>128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</row>
    <row r="115" spans="1:13">
      <c r="B115" s="23" t="s">
        <v>16</v>
      </c>
      <c r="C115" s="23" t="s">
        <v>82</v>
      </c>
      <c r="D115" s="23">
        <v>2000</v>
      </c>
      <c r="E115" s="23">
        <v>2001</v>
      </c>
      <c r="F115" s="23">
        <v>2002</v>
      </c>
      <c r="G115" s="23">
        <v>2003</v>
      </c>
      <c r="H115" s="23">
        <v>2004</v>
      </c>
      <c r="I115" s="23">
        <v>2005</v>
      </c>
      <c r="J115" s="23">
        <v>2006</v>
      </c>
      <c r="K115" s="23">
        <v>2007</v>
      </c>
      <c r="L115" s="23">
        <v>2008</v>
      </c>
      <c r="M115" s="23">
        <v>2009</v>
      </c>
    </row>
    <row r="116" spans="1:13">
      <c r="A116" t="b">
        <f>B116=B155</f>
        <v>1</v>
      </c>
      <c r="B116" s="18" t="s">
        <v>3</v>
      </c>
      <c r="C116" s="18" t="s">
        <v>88</v>
      </c>
      <c r="D116" s="18">
        <v>2929.6129999999998</v>
      </c>
      <c r="E116" s="18">
        <v>3281.8989999999999</v>
      </c>
      <c r="F116" s="18">
        <v>622.62400000000002</v>
      </c>
      <c r="G116" s="18">
        <v>1185.74</v>
      </c>
      <c r="H116" s="18">
        <v>762.34799999999996</v>
      </c>
      <c r="I116" s="18">
        <v>5992.9483899999996</v>
      </c>
      <c r="J116" s="18">
        <v>476.81473</v>
      </c>
      <c r="K116" s="18">
        <v>2919.2073999999998</v>
      </c>
      <c r="L116" s="18">
        <v>3355.7329800000002</v>
      </c>
      <c r="M116" s="18">
        <v>3516.97786</v>
      </c>
    </row>
    <row r="117" spans="1:13">
      <c r="A117" t="b">
        <f t="shared" ref="A117:A149" si="73">B117=B156</f>
        <v>1</v>
      </c>
      <c r="B117" s="18" t="s">
        <v>11</v>
      </c>
      <c r="C117" s="18" t="s">
        <v>88</v>
      </c>
      <c r="D117" s="18">
        <v>4059.4769999999999</v>
      </c>
      <c r="E117" s="18">
        <v>4067.9029999999998</v>
      </c>
      <c r="F117" s="18">
        <v>4210.41968</v>
      </c>
      <c r="G117" s="18">
        <v>4418.2430000000004</v>
      </c>
      <c r="H117" s="18">
        <v>7885.0092999999997</v>
      </c>
      <c r="I117" s="18">
        <v>9138.8598399999992</v>
      </c>
      <c r="J117" s="18">
        <v>8190.7702200000003</v>
      </c>
      <c r="K117" s="18">
        <v>10666.48666</v>
      </c>
      <c r="L117" s="18">
        <v>14553.15143</v>
      </c>
      <c r="M117" s="18">
        <v>17294.29074</v>
      </c>
    </row>
    <row r="118" spans="1:13">
      <c r="A118" t="b">
        <f t="shared" si="73"/>
        <v>1</v>
      </c>
      <c r="B118" s="18" t="s">
        <v>10</v>
      </c>
      <c r="C118" s="18" t="s">
        <v>88</v>
      </c>
      <c r="D118" s="18">
        <v>25261.523000000001</v>
      </c>
      <c r="E118" s="18">
        <v>24770.174999999999</v>
      </c>
      <c r="F118" s="18">
        <v>27500.311860000002</v>
      </c>
      <c r="G118" s="18">
        <v>30485.3613</v>
      </c>
      <c r="H118" s="18">
        <v>34165.426639999998</v>
      </c>
      <c r="I118" s="18">
        <v>37420.079449999997</v>
      </c>
      <c r="J118" s="18">
        <v>41674.668660000003</v>
      </c>
      <c r="K118" s="18">
        <v>51962.832439999998</v>
      </c>
      <c r="L118" s="18">
        <v>57476.724589999998</v>
      </c>
      <c r="M118" s="18">
        <v>48914.78297</v>
      </c>
    </row>
    <row r="119" spans="1:13">
      <c r="A119" t="b">
        <f t="shared" si="73"/>
        <v>1</v>
      </c>
      <c r="B119" s="18" t="s">
        <v>6</v>
      </c>
      <c r="C119" s="18" t="s">
        <v>88</v>
      </c>
      <c r="D119" s="18">
        <v>733.89499999999998</v>
      </c>
      <c r="E119" s="18">
        <v>729.05799999999999</v>
      </c>
      <c r="F119" s="18">
        <v>747.58299999999997</v>
      </c>
      <c r="G119" s="18">
        <v>766.39099999999996</v>
      </c>
      <c r="H119" s="18">
        <v>854.07942000000003</v>
      </c>
      <c r="I119" s="18">
        <v>970.49400000000003</v>
      </c>
      <c r="J119" s="18">
        <v>1021.814</v>
      </c>
      <c r="K119" s="18">
        <v>1125.98054</v>
      </c>
      <c r="L119" s="18">
        <v>1250.05547</v>
      </c>
      <c r="M119" s="18">
        <v>1231.8496700000001</v>
      </c>
    </row>
    <row r="120" spans="1:13">
      <c r="A120" t="b">
        <f t="shared" si="73"/>
        <v>1</v>
      </c>
      <c r="B120" s="18" t="s">
        <v>9</v>
      </c>
      <c r="C120" s="18" t="s">
        <v>88</v>
      </c>
      <c r="D120" s="18">
        <v>5251.866</v>
      </c>
      <c r="E120" s="18">
        <v>5706.4030000000002</v>
      </c>
      <c r="F120" s="18">
        <v>6052.2994399999998</v>
      </c>
      <c r="G120" s="18">
        <v>6553.0042100000001</v>
      </c>
      <c r="H120" s="18">
        <v>6870.0917900000004</v>
      </c>
      <c r="I120" s="18">
        <v>7182.7956299999996</v>
      </c>
      <c r="J120" s="18">
        <v>7477.2738300000001</v>
      </c>
      <c r="K120" s="18">
        <v>7855.9396900000002</v>
      </c>
      <c r="L120" s="18">
        <v>8310.6180199999999</v>
      </c>
      <c r="M120" s="18">
        <v>8591.5370399999993</v>
      </c>
    </row>
    <row r="121" spans="1:13">
      <c r="A121" t="b">
        <f t="shared" si="73"/>
        <v>1</v>
      </c>
      <c r="B121" s="18" t="s">
        <v>8</v>
      </c>
      <c r="C121" s="18" t="s">
        <v>88</v>
      </c>
      <c r="D121" s="18">
        <v>109534.17200000001</v>
      </c>
      <c r="E121" s="18">
        <v>86282.187999999995</v>
      </c>
      <c r="F121" s="18">
        <v>84719.876000000004</v>
      </c>
      <c r="G121" s="18">
        <v>103183.439</v>
      </c>
      <c r="H121" s="18">
        <v>127938.61199999999</v>
      </c>
      <c r="I121" s="18">
        <v>151006.52299999999</v>
      </c>
      <c r="J121" s="18">
        <v>159227.473</v>
      </c>
      <c r="K121" s="18">
        <v>178965.88099999999</v>
      </c>
      <c r="L121" s="18">
        <v>228286.34169999999</v>
      </c>
      <c r="M121" s="18">
        <v>224871.49050000001</v>
      </c>
    </row>
    <row r="122" spans="1:13">
      <c r="A122" t="b">
        <f t="shared" si="73"/>
        <v>1</v>
      </c>
      <c r="B122" s="18" t="s">
        <v>12</v>
      </c>
      <c r="C122" s="18" t="s">
        <v>88</v>
      </c>
      <c r="D122" s="18">
        <v>31.061</v>
      </c>
      <c r="E122" s="18">
        <v>40.292000000000002</v>
      </c>
      <c r="F122" s="18">
        <v>41.622</v>
      </c>
      <c r="G122" s="18">
        <v>348.22458999999998</v>
      </c>
      <c r="H122" s="18">
        <v>427.21499999999997</v>
      </c>
      <c r="I122" s="18">
        <v>259.94</v>
      </c>
      <c r="J122" s="18">
        <v>666.69686000000002</v>
      </c>
      <c r="K122" s="18">
        <v>847.60332000000005</v>
      </c>
      <c r="L122" s="18">
        <v>1087.7672700000001</v>
      </c>
      <c r="M122" s="18">
        <v>1289.7451100000001</v>
      </c>
    </row>
    <row r="123" spans="1:13">
      <c r="A123" t="b">
        <f t="shared" si="73"/>
        <v>1</v>
      </c>
      <c r="B123" s="18" t="s">
        <v>5</v>
      </c>
      <c r="C123" s="18" t="s">
        <v>88</v>
      </c>
      <c r="D123" s="18">
        <v>4115.027</v>
      </c>
      <c r="E123" s="18">
        <v>4660.67</v>
      </c>
      <c r="F123" s="18">
        <v>4678.6829799999996</v>
      </c>
      <c r="G123" s="18">
        <v>5194.2741999999998</v>
      </c>
      <c r="H123" s="18">
        <v>5685.3424400000004</v>
      </c>
      <c r="I123" s="18">
        <v>6720.49197</v>
      </c>
      <c r="J123" s="18">
        <v>7643.4896799999997</v>
      </c>
      <c r="K123" s="18">
        <v>9074.0181499999999</v>
      </c>
      <c r="L123" s="18">
        <v>9827.2886600000002</v>
      </c>
      <c r="M123" s="18">
        <v>10604.27461</v>
      </c>
    </row>
    <row r="124" spans="1:13">
      <c r="A124" t="b">
        <f t="shared" si="73"/>
        <v>1</v>
      </c>
      <c r="B124" s="18" t="s">
        <v>21</v>
      </c>
      <c r="C124" s="18" t="s">
        <v>88</v>
      </c>
      <c r="D124" s="18">
        <v>56746.514000000003</v>
      </c>
      <c r="E124" s="18">
        <v>73884.175000000003</v>
      </c>
      <c r="F124" s="18">
        <v>107847.03156</v>
      </c>
      <c r="G124" s="18">
        <v>117361.08352</v>
      </c>
      <c r="H124" s="18">
        <v>128075.5276</v>
      </c>
      <c r="I124" s="18">
        <v>130655.6603</v>
      </c>
      <c r="J124" s="18">
        <v>116659.76360000001</v>
      </c>
      <c r="K124" s="18">
        <v>108100.17819999999</v>
      </c>
      <c r="L124" s="18">
        <v>96365.582850000006</v>
      </c>
      <c r="M124" s="18">
        <v>92928.942509999993</v>
      </c>
    </row>
    <row r="125" spans="1:13">
      <c r="A125" t="b">
        <f t="shared" si="73"/>
        <v>1</v>
      </c>
      <c r="B125" s="18" t="s">
        <v>22</v>
      </c>
      <c r="C125" s="18" t="s">
        <v>88</v>
      </c>
      <c r="D125" s="18">
        <v>72602.947</v>
      </c>
      <c r="E125" s="18">
        <v>64893.690999999999</v>
      </c>
      <c r="F125" s="18">
        <v>62167.74235</v>
      </c>
      <c r="G125" s="18">
        <v>68999.03426</v>
      </c>
      <c r="H125" s="18">
        <v>72384.935639999996</v>
      </c>
      <c r="I125" s="18">
        <v>79427.557660000006</v>
      </c>
      <c r="J125" s="18">
        <v>76782.213170000003</v>
      </c>
      <c r="K125" s="18">
        <v>77805.908249999993</v>
      </c>
      <c r="L125" s="18">
        <v>89267.443329999995</v>
      </c>
      <c r="M125" s="18">
        <v>81777.107449999996</v>
      </c>
    </row>
    <row r="126" spans="1:13">
      <c r="A126" t="b">
        <f t="shared" si="73"/>
        <v>1</v>
      </c>
      <c r="B126" s="18" t="s">
        <v>23</v>
      </c>
      <c r="C126" s="18" t="s">
        <v>88</v>
      </c>
      <c r="D126" s="18">
        <v>106891.57399999999</v>
      </c>
      <c r="E126" s="18">
        <v>104646.22199999999</v>
      </c>
      <c r="F126" s="18">
        <v>99082.744999999995</v>
      </c>
      <c r="G126" s="18">
        <v>100952.53783</v>
      </c>
      <c r="H126" s="18">
        <v>109521.62489000001</v>
      </c>
      <c r="I126" s="18">
        <v>124915.86645</v>
      </c>
      <c r="J126" s="18">
        <v>132702.60380000001</v>
      </c>
      <c r="K126" s="18">
        <v>139773.82689999999</v>
      </c>
      <c r="L126" s="18">
        <v>144688.4748</v>
      </c>
      <c r="M126" s="18">
        <v>144198.3321</v>
      </c>
    </row>
    <row r="127" spans="1:13">
      <c r="A127" t="b">
        <f t="shared" si="73"/>
        <v>1</v>
      </c>
      <c r="B127" s="18" t="s">
        <v>24</v>
      </c>
      <c r="C127" s="18" t="s">
        <v>88</v>
      </c>
      <c r="D127" s="18">
        <v>7018.6970000000001</v>
      </c>
      <c r="E127" s="18">
        <v>6507.7340000000004</v>
      </c>
      <c r="F127" s="18">
        <v>5861.8103199999996</v>
      </c>
      <c r="G127" s="18">
        <v>6419.1425799999997</v>
      </c>
      <c r="H127" s="18">
        <v>6360.8396499999999</v>
      </c>
      <c r="I127" s="18">
        <v>6527.9372000000003</v>
      </c>
      <c r="J127" s="18">
        <v>7651.2274399999997</v>
      </c>
      <c r="K127" s="18">
        <v>6717.8372099999997</v>
      </c>
      <c r="L127" s="18">
        <v>7865.6662999999999</v>
      </c>
      <c r="M127" s="18">
        <v>7435.5908499999996</v>
      </c>
    </row>
    <row r="128" spans="1:13">
      <c r="A128" t="b">
        <f t="shared" si="73"/>
        <v>1</v>
      </c>
      <c r="B128" s="18" t="s">
        <v>25</v>
      </c>
      <c r="C128" s="18" t="s">
        <v>88</v>
      </c>
      <c r="D128" s="18">
        <v>4472.8869999999997</v>
      </c>
      <c r="E128" s="18">
        <v>4389.6109999999999</v>
      </c>
      <c r="F128" s="18">
        <v>4432.7643699999999</v>
      </c>
      <c r="G128" s="18">
        <v>4522.7488700000004</v>
      </c>
      <c r="H128" s="18">
        <v>4692.7454200000002</v>
      </c>
      <c r="I128" s="18">
        <v>5005.3311899999999</v>
      </c>
      <c r="J128" s="18">
        <v>8803.9527600000001</v>
      </c>
      <c r="K128" s="18">
        <v>5805.8425500000003</v>
      </c>
      <c r="L128" s="18">
        <v>5916.8289800000002</v>
      </c>
      <c r="M128" s="18">
        <v>8934.0088199999991</v>
      </c>
    </row>
    <row r="129" spans="1:13">
      <c r="A129" t="b">
        <f t="shared" si="73"/>
        <v>1</v>
      </c>
      <c r="B129" s="18" t="s">
        <v>26</v>
      </c>
      <c r="C129" s="18" t="s">
        <v>88</v>
      </c>
      <c r="D129" s="18">
        <v>4821.5200000000004</v>
      </c>
      <c r="E129" s="18">
        <v>4878.8810000000003</v>
      </c>
      <c r="F129" s="18">
        <v>5103.3435300000001</v>
      </c>
      <c r="G129" s="18">
        <v>5637.6704200000004</v>
      </c>
      <c r="H129" s="18">
        <v>5424.39264</v>
      </c>
      <c r="I129" s="18">
        <v>5867.0678200000002</v>
      </c>
      <c r="J129" s="18">
        <v>6574.7125299999998</v>
      </c>
      <c r="K129" s="18">
        <v>7203.0736399999996</v>
      </c>
      <c r="L129" s="18">
        <v>8006.5649199999998</v>
      </c>
      <c r="M129" s="18">
        <v>8809.2436899999993</v>
      </c>
    </row>
    <row r="130" spans="1:13">
      <c r="A130" t="b">
        <f t="shared" si="73"/>
        <v>1</v>
      </c>
      <c r="B130" s="18" t="s">
        <v>27</v>
      </c>
      <c r="C130" s="18" t="s">
        <v>88</v>
      </c>
      <c r="D130" s="18">
        <v>32774.160000000003</v>
      </c>
      <c r="E130" s="18">
        <v>35865.938999999998</v>
      </c>
      <c r="F130" s="18">
        <v>35447.093000000001</v>
      </c>
      <c r="G130" s="18">
        <v>38876.835249999996</v>
      </c>
      <c r="H130" s="18">
        <v>43848.780610000002</v>
      </c>
      <c r="I130" s="18">
        <v>51435.529000000002</v>
      </c>
      <c r="J130" s="18">
        <v>56751.942999999999</v>
      </c>
      <c r="K130" s="18">
        <v>59029.235000000001</v>
      </c>
      <c r="L130" s="18">
        <v>63046.114450000001</v>
      </c>
      <c r="M130" s="18">
        <v>55503.680209999999</v>
      </c>
    </row>
    <row r="131" spans="1:13">
      <c r="A131" t="b">
        <f t="shared" si="73"/>
        <v>1</v>
      </c>
      <c r="B131" s="18" t="s">
        <v>46</v>
      </c>
      <c r="C131" s="18" t="s">
        <v>88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>
      <c r="A132" t="b">
        <f t="shared" si="73"/>
        <v>1</v>
      </c>
      <c r="B132" s="18" t="s">
        <v>28</v>
      </c>
      <c r="C132" s="18" t="s">
        <v>88</v>
      </c>
      <c r="D132" s="18">
        <v>1438.223</v>
      </c>
      <c r="E132" s="18">
        <v>1848.0440000000001</v>
      </c>
      <c r="F132" s="18">
        <v>1784.81203</v>
      </c>
      <c r="G132" s="18">
        <v>1970.04844</v>
      </c>
      <c r="H132" s="18">
        <v>4274.5988500000003</v>
      </c>
      <c r="I132" s="18">
        <v>4934.1776099999997</v>
      </c>
      <c r="J132" s="18">
        <v>5120.70244</v>
      </c>
      <c r="K132" s="18">
        <v>5078.3479699999998</v>
      </c>
      <c r="L132" s="18">
        <v>5056.7933499999999</v>
      </c>
      <c r="M132" s="18">
        <v>5154.9244799999997</v>
      </c>
    </row>
    <row r="133" spans="1:13">
      <c r="A133" t="b">
        <f t="shared" si="73"/>
        <v>1</v>
      </c>
      <c r="B133" s="18" t="s">
        <v>29</v>
      </c>
      <c r="C133" s="18" t="s">
        <v>88</v>
      </c>
      <c r="D133" s="18"/>
      <c r="E133" s="18"/>
      <c r="F133" s="18"/>
      <c r="G133" s="18">
        <v>8615.3834700000007</v>
      </c>
      <c r="H133" s="18">
        <v>12725.317999999999</v>
      </c>
      <c r="I133" s="18">
        <v>15829.268319999999</v>
      </c>
      <c r="J133" s="18">
        <v>16157.012269999999</v>
      </c>
      <c r="K133" s="18">
        <v>18832.774959999999</v>
      </c>
      <c r="L133" s="18">
        <v>22206.414519999998</v>
      </c>
      <c r="M133" s="18">
        <v>23912.200649999999</v>
      </c>
    </row>
    <row r="134" spans="1:13">
      <c r="A134" t="b">
        <f t="shared" si="73"/>
        <v>1</v>
      </c>
      <c r="B134" s="18" t="s">
        <v>7</v>
      </c>
      <c r="C134" s="18" t="s">
        <v>88</v>
      </c>
      <c r="D134" s="18">
        <v>8510.3539999999994</v>
      </c>
      <c r="E134" s="18">
        <v>8212.116</v>
      </c>
      <c r="F134" s="18">
        <v>9327.7149399999998</v>
      </c>
      <c r="G134" s="18">
        <v>9885.46443</v>
      </c>
      <c r="H134" s="18">
        <v>7790.4093199999998</v>
      </c>
      <c r="I134" s="18">
        <v>8563.7735499999999</v>
      </c>
      <c r="J134" s="18">
        <v>9155.1410099999994</v>
      </c>
      <c r="K134" s="18">
        <v>9470.98855</v>
      </c>
      <c r="L134" s="18">
        <v>14102.09902</v>
      </c>
      <c r="M134" s="18">
        <v>14700.481739999999</v>
      </c>
    </row>
    <row r="135" spans="1:13">
      <c r="A135" t="b">
        <f t="shared" si="73"/>
        <v>1</v>
      </c>
      <c r="B135" s="18" t="s">
        <v>13</v>
      </c>
      <c r="C135" s="18" t="s">
        <v>88</v>
      </c>
      <c r="D135" s="18">
        <v>374.32400000000001</v>
      </c>
      <c r="E135" s="18">
        <v>508.791</v>
      </c>
      <c r="F135" s="18">
        <v>528.66999999999996</v>
      </c>
      <c r="G135" s="18">
        <v>532.93299999999999</v>
      </c>
      <c r="H135" s="18">
        <v>527.44223</v>
      </c>
      <c r="I135" s="18">
        <v>535.22924999999998</v>
      </c>
      <c r="J135" s="18">
        <v>588.86779999999999</v>
      </c>
      <c r="K135" s="18">
        <v>630.57953999999995</v>
      </c>
      <c r="L135" s="18">
        <v>677.66929000000005</v>
      </c>
      <c r="M135" s="18">
        <v>699.17079000000001</v>
      </c>
    </row>
    <row r="136" spans="1:13">
      <c r="A136" t="b">
        <f t="shared" si="73"/>
        <v>1</v>
      </c>
      <c r="B136" s="18" t="s">
        <v>30</v>
      </c>
      <c r="C136" s="18" t="s">
        <v>88</v>
      </c>
      <c r="D136" s="18">
        <v>451.64600000000002</v>
      </c>
      <c r="E136" s="18">
        <v>350.238</v>
      </c>
      <c r="F136" s="18">
        <v>385.017</v>
      </c>
      <c r="G136" s="18">
        <v>368.15645000000001</v>
      </c>
      <c r="H136" s="18">
        <v>439.71116000000001</v>
      </c>
      <c r="I136" s="18">
        <v>473.56457</v>
      </c>
      <c r="J136" s="18">
        <v>520.12564999999995</v>
      </c>
      <c r="K136" s="18">
        <v>563.13352999999995</v>
      </c>
      <c r="L136" s="18">
        <v>614.11262999999997</v>
      </c>
      <c r="M136" s="18">
        <v>680.47751000000005</v>
      </c>
    </row>
    <row r="137" spans="1:13">
      <c r="A137" t="b">
        <f t="shared" si="73"/>
        <v>1</v>
      </c>
      <c r="B137" s="18" t="s">
        <v>31</v>
      </c>
      <c r="C137" s="18" t="s">
        <v>88</v>
      </c>
      <c r="D137" s="18">
        <v>2766.413</v>
      </c>
      <c r="E137" s="18">
        <v>2790.9029999999998</v>
      </c>
      <c r="F137" s="18">
        <v>2877.32251</v>
      </c>
      <c r="G137" s="18">
        <v>2902.7537600000001</v>
      </c>
      <c r="H137" s="18">
        <v>3175.6738700000001</v>
      </c>
      <c r="I137" s="18">
        <v>3564.2230399999999</v>
      </c>
      <c r="J137" s="18">
        <v>3751.12491</v>
      </c>
      <c r="K137" s="18">
        <v>3943.1127200000001</v>
      </c>
      <c r="L137" s="18">
        <v>4101.5944600000003</v>
      </c>
      <c r="M137" s="18">
        <v>4264.7645300000004</v>
      </c>
    </row>
    <row r="138" spans="1:13">
      <c r="A138" t="b">
        <f t="shared" si="73"/>
        <v>1</v>
      </c>
      <c r="B138" s="18" t="s">
        <v>32</v>
      </c>
      <c r="C138" s="18" t="s">
        <v>88</v>
      </c>
      <c r="D138" s="18">
        <v>2966.4090000000001</v>
      </c>
      <c r="E138" s="18">
        <v>3514.558</v>
      </c>
      <c r="F138" s="18">
        <v>3874.491</v>
      </c>
      <c r="G138" s="18">
        <v>3885.8348500000002</v>
      </c>
      <c r="H138" s="18">
        <v>4666.9901499999996</v>
      </c>
      <c r="I138" s="18">
        <v>5387.8684000000003</v>
      </c>
      <c r="J138" s="18">
        <v>6024.9858899999999</v>
      </c>
      <c r="K138" s="18">
        <v>6636.6747400000004</v>
      </c>
      <c r="L138" s="18">
        <v>7037.0154899999998</v>
      </c>
      <c r="M138" s="18">
        <v>7071.6358899999996</v>
      </c>
    </row>
    <row r="139" spans="1:13">
      <c r="A139" t="b">
        <f t="shared" si="73"/>
        <v>1</v>
      </c>
      <c r="B139" s="18" t="s">
        <v>14</v>
      </c>
      <c r="C139" s="18" t="s">
        <v>88</v>
      </c>
      <c r="D139" s="18">
        <v>11187.644</v>
      </c>
      <c r="E139" s="18">
        <v>10464.575999999999</v>
      </c>
      <c r="F139" s="18">
        <v>9233.0038600000007</v>
      </c>
      <c r="G139" s="18">
        <v>9995.5379099999991</v>
      </c>
      <c r="H139" s="18">
        <v>10113.43103</v>
      </c>
      <c r="I139" s="18">
        <v>11426.07524</v>
      </c>
      <c r="J139" s="18">
        <v>14003.08963</v>
      </c>
      <c r="K139" s="18">
        <v>13041.565619999999</v>
      </c>
      <c r="L139" s="18">
        <v>15257.645479999999</v>
      </c>
      <c r="M139" s="18">
        <v>15573.6302</v>
      </c>
    </row>
    <row r="140" spans="1:13">
      <c r="A140" t="b">
        <f t="shared" si="73"/>
        <v>1</v>
      </c>
      <c r="B140" s="18" t="s">
        <v>33</v>
      </c>
      <c r="C140" s="18" t="s">
        <v>88</v>
      </c>
      <c r="D140" s="18"/>
      <c r="E140" s="18"/>
      <c r="F140" s="18">
        <v>3079.8013700000001</v>
      </c>
      <c r="G140" s="18">
        <v>2848.3788399999999</v>
      </c>
      <c r="H140" s="18">
        <v>2688.60322</v>
      </c>
      <c r="I140" s="18">
        <v>3229.0072599999999</v>
      </c>
      <c r="J140" s="18">
        <v>3806.4672999999998</v>
      </c>
      <c r="K140" s="18">
        <v>3862.25758</v>
      </c>
      <c r="L140" s="18">
        <v>3706.6280700000002</v>
      </c>
      <c r="M140" s="18">
        <v>2826.5937100000001</v>
      </c>
    </row>
    <row r="141" spans="1:13">
      <c r="A141" t="b">
        <f t="shared" si="73"/>
        <v>1</v>
      </c>
      <c r="B141" s="18" t="s">
        <v>4</v>
      </c>
      <c r="C141" s="18" t="s">
        <v>88</v>
      </c>
      <c r="D141" s="18">
        <v>22428.237000000001</v>
      </c>
      <c r="E141" s="18">
        <v>21221.435000000001</v>
      </c>
      <c r="F141" s="18">
        <v>21055.813719999998</v>
      </c>
      <c r="G141" s="18">
        <v>16504.189009999998</v>
      </c>
      <c r="H141" s="18">
        <v>17667.228640000001</v>
      </c>
      <c r="I141" s="18">
        <v>19970.635020000002</v>
      </c>
      <c r="J141" s="18">
        <v>22030.687419999998</v>
      </c>
      <c r="K141" s="18">
        <v>24142.651870000002</v>
      </c>
      <c r="L141" s="18">
        <v>26224.430680000001</v>
      </c>
      <c r="M141" s="18">
        <v>27851.179960000001</v>
      </c>
    </row>
    <row r="142" spans="1:13">
      <c r="A142" t="b">
        <f t="shared" si="73"/>
        <v>1</v>
      </c>
      <c r="B142" s="18" t="s">
        <v>34</v>
      </c>
      <c r="C142" s="18" t="s">
        <v>88</v>
      </c>
      <c r="D142" s="18"/>
      <c r="E142" s="18"/>
      <c r="F142" s="18"/>
      <c r="G142" s="18"/>
      <c r="H142" s="18">
        <v>434.09172000000001</v>
      </c>
      <c r="I142" s="18">
        <v>447.91665999999998</v>
      </c>
      <c r="J142" s="18">
        <v>529.72577000000001</v>
      </c>
      <c r="K142" s="18">
        <v>642.71533999999997</v>
      </c>
      <c r="L142" s="18">
        <v>787.74311999999998</v>
      </c>
      <c r="M142" s="18">
        <v>863.38283000000001</v>
      </c>
    </row>
    <row r="143" spans="1:13">
      <c r="A143" t="b">
        <f t="shared" si="73"/>
        <v>1</v>
      </c>
      <c r="B143" s="18" t="s">
        <v>35</v>
      </c>
      <c r="C143" s="18" t="s">
        <v>88</v>
      </c>
      <c r="D143" s="18">
        <v>5113.0929999999998</v>
      </c>
      <c r="E143" s="18">
        <v>7512.3419999999996</v>
      </c>
      <c r="F143" s="18">
        <v>5712.5552699999998</v>
      </c>
      <c r="G143" s="18">
        <v>5655.1451699999998</v>
      </c>
      <c r="H143" s="18">
        <v>9729.9609099999998</v>
      </c>
      <c r="I143" s="18">
        <v>11531.358260000001</v>
      </c>
      <c r="J143" s="18">
        <v>11482.910169999999</v>
      </c>
      <c r="K143" s="18">
        <v>15561.73811</v>
      </c>
      <c r="L143" s="18">
        <v>13799.937690000001</v>
      </c>
      <c r="M143" s="18">
        <v>12141.81221</v>
      </c>
    </row>
    <row r="144" spans="1:13">
      <c r="A144" t="b">
        <f t="shared" si="73"/>
        <v>1</v>
      </c>
      <c r="B144" s="18" t="s">
        <v>36</v>
      </c>
      <c r="C144" s="18" t="s">
        <v>88</v>
      </c>
      <c r="D144" s="18">
        <v>999.17200000000003</v>
      </c>
      <c r="E144" s="18">
        <v>1022.627</v>
      </c>
      <c r="F144" s="18">
        <v>1056.0840000000001</v>
      </c>
      <c r="G144" s="18">
        <v>1073.4662699999999</v>
      </c>
      <c r="H144" s="18">
        <v>1104.30423</v>
      </c>
      <c r="I144" s="18">
        <v>1141.68085</v>
      </c>
      <c r="J144" s="18">
        <v>1198.38922</v>
      </c>
      <c r="K144" s="18">
        <v>2086.98531</v>
      </c>
      <c r="L144" s="18">
        <v>2202.95136</v>
      </c>
      <c r="M144" s="18">
        <v>2285.2115699999999</v>
      </c>
    </row>
    <row r="145" spans="1:13">
      <c r="A145" t="b">
        <f t="shared" si="73"/>
        <v>1</v>
      </c>
      <c r="B145" s="18" t="s">
        <v>37</v>
      </c>
      <c r="C145" s="18" t="s">
        <v>88</v>
      </c>
      <c r="D145" s="18">
        <v>1000.456</v>
      </c>
      <c r="E145" s="18">
        <v>1099.8130000000001</v>
      </c>
      <c r="F145" s="18">
        <v>1163.7</v>
      </c>
      <c r="G145" s="18">
        <v>1293.52</v>
      </c>
      <c r="H145" s="18">
        <v>1770.33053</v>
      </c>
      <c r="I145" s="18">
        <v>2088.65146</v>
      </c>
      <c r="J145" s="18">
        <v>2954.26586</v>
      </c>
      <c r="K145" s="18">
        <v>3124.5895700000001</v>
      </c>
      <c r="L145" s="18">
        <v>3238.47984</v>
      </c>
      <c r="M145" s="18">
        <v>3534.69659</v>
      </c>
    </row>
    <row r="146" spans="1:13">
      <c r="A146" t="b">
        <f t="shared" si="73"/>
        <v>1</v>
      </c>
      <c r="B146" s="18" t="s">
        <v>38</v>
      </c>
      <c r="C146" s="18" t="s">
        <v>88</v>
      </c>
      <c r="D146" s="18">
        <v>2955.3209999999999</v>
      </c>
      <c r="E146" s="18">
        <v>1687.9290000000001</v>
      </c>
      <c r="F146" s="18">
        <v>1764.7566300000001</v>
      </c>
      <c r="G146" s="18">
        <v>2385.8341</v>
      </c>
      <c r="H146" s="18">
        <v>4011.9749900000002</v>
      </c>
      <c r="I146" s="18">
        <v>4667.3594899999998</v>
      </c>
      <c r="J146" s="18">
        <v>4541.33968</v>
      </c>
      <c r="K146" s="18">
        <v>4901.2565500000001</v>
      </c>
      <c r="L146" s="18">
        <v>5955.4544400000004</v>
      </c>
      <c r="M146" s="18">
        <v>5804.8591900000001</v>
      </c>
    </row>
    <row r="147" spans="1:13">
      <c r="A147" t="b">
        <f t="shared" si="73"/>
        <v>1</v>
      </c>
      <c r="B147" s="18" t="s">
        <v>39</v>
      </c>
      <c r="C147" s="18" t="s">
        <v>88</v>
      </c>
      <c r="D147" s="18">
        <v>1558.7460000000001</v>
      </c>
      <c r="E147" s="18">
        <v>1346.567</v>
      </c>
      <c r="F147" s="18">
        <v>1323.04773</v>
      </c>
      <c r="G147" s="18">
        <v>1676.9590800000001</v>
      </c>
      <c r="H147" s="18">
        <v>1682.8625500000001</v>
      </c>
      <c r="I147" s="18">
        <v>2317.8528500000002</v>
      </c>
      <c r="J147" s="18">
        <v>2528.8991299999998</v>
      </c>
      <c r="K147" s="18">
        <v>3471.9662899999998</v>
      </c>
      <c r="L147" s="18">
        <v>5016.8079799999996</v>
      </c>
      <c r="M147" s="18">
        <v>4912.0758299999998</v>
      </c>
    </row>
    <row r="148" spans="1:13">
      <c r="A148" t="b">
        <f t="shared" si="73"/>
        <v>1</v>
      </c>
      <c r="B148" s="18" t="s">
        <v>40</v>
      </c>
      <c r="C148" s="18" t="s">
        <v>88</v>
      </c>
      <c r="D148" s="18">
        <v>11523.138999999999</v>
      </c>
      <c r="E148" s="18">
        <v>11681.099</v>
      </c>
      <c r="F148" s="18">
        <v>12345.388999999999</v>
      </c>
      <c r="G148" s="18">
        <v>11401.232</v>
      </c>
      <c r="H148" s="18">
        <v>12581.204</v>
      </c>
      <c r="I148" s="18">
        <v>13589.043</v>
      </c>
      <c r="J148" s="18">
        <v>14188.093999999999</v>
      </c>
      <c r="K148" s="18">
        <v>15776.332</v>
      </c>
      <c r="L148" s="18">
        <v>17127.289000000001</v>
      </c>
      <c r="M148" s="18">
        <v>18641.312000000002</v>
      </c>
    </row>
    <row r="149" spans="1:13">
      <c r="A149" t="b">
        <f t="shared" si="73"/>
        <v>1</v>
      </c>
      <c r="B149" s="18" t="s">
        <v>41</v>
      </c>
      <c r="C149" s="18" t="s">
        <v>88</v>
      </c>
      <c r="D149" s="18">
        <v>17710.648000000001</v>
      </c>
      <c r="E149" s="18">
        <v>18556.848999999998</v>
      </c>
      <c r="F149" s="18">
        <v>19397.666000000001</v>
      </c>
      <c r="G149" s="18">
        <v>18862.15177</v>
      </c>
      <c r="H149" s="18">
        <v>23140.024580000001</v>
      </c>
      <c r="I149" s="18">
        <v>26549.346249999999</v>
      </c>
      <c r="J149" s="18">
        <v>29379.25992</v>
      </c>
      <c r="K149" s="18">
        <v>35396.211360000001</v>
      </c>
      <c r="L149" s="18">
        <v>41622.432589999997</v>
      </c>
      <c r="M149" s="18">
        <v>42686.512779999997</v>
      </c>
    </row>
    <row r="152" spans="1:13">
      <c r="B152" s="16" t="s">
        <v>127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</row>
    <row r="154" spans="1:13">
      <c r="B154" s="22"/>
      <c r="C154" s="23" t="s">
        <v>124</v>
      </c>
      <c r="D154" s="23" t="s">
        <v>125</v>
      </c>
      <c r="E154" s="24" t="s">
        <v>126</v>
      </c>
    </row>
    <row r="155" spans="1:13">
      <c r="B155" s="18" t="s">
        <v>3</v>
      </c>
      <c r="C155" s="18">
        <v>3387.9118400000002</v>
      </c>
      <c r="D155" s="18">
        <v>54431.947910000003</v>
      </c>
      <c r="E155" s="25">
        <f>D155/C155</f>
        <v>16.066518398542506</v>
      </c>
    </row>
    <row r="156" spans="1:13">
      <c r="B156" s="18" t="s">
        <v>11</v>
      </c>
      <c r="C156" s="18">
        <v>19264.539560000001</v>
      </c>
      <c r="D156" s="18">
        <v>13334.40595</v>
      </c>
      <c r="E156" s="25">
        <f t="shared" ref="E156:E188" si="74">D156/C156</f>
        <v>0.69217361299861768</v>
      </c>
    </row>
    <row r="157" spans="1:13">
      <c r="B157" s="18" t="s">
        <v>10</v>
      </c>
      <c r="C157" s="18">
        <v>56601.789550000001</v>
      </c>
      <c r="D157" s="18">
        <v>225555.16649999999</v>
      </c>
      <c r="E157" s="25">
        <f t="shared" si="74"/>
        <v>3.9849476190280626</v>
      </c>
    </row>
    <row r="158" spans="1:13">
      <c r="B158" s="18" t="s">
        <v>6</v>
      </c>
      <c r="C158" s="18">
        <v>1322.0562399999999</v>
      </c>
      <c r="D158" s="18">
        <v>18092.749589999999</v>
      </c>
      <c r="E158" s="25">
        <f t="shared" si="74"/>
        <v>13.685310081816187</v>
      </c>
    </row>
    <row r="159" spans="1:13">
      <c r="B159" s="18" t="s">
        <v>9</v>
      </c>
      <c r="C159" s="18">
        <v>9002.1519599999992</v>
      </c>
      <c r="D159" s="18">
        <v>1520.5198010300001</v>
      </c>
      <c r="E159" s="25">
        <f t="shared" si="74"/>
        <v>0.16890625794657216</v>
      </c>
    </row>
    <row r="160" spans="1:13">
      <c r="B160" s="18" t="s">
        <v>8</v>
      </c>
      <c r="C160" s="18">
        <v>242778.86180000001</v>
      </c>
      <c r="D160" s="18">
        <v>705332.41711627005</v>
      </c>
      <c r="E160" s="25">
        <f t="shared" si="74"/>
        <v>2.9052464118450283</v>
      </c>
    </row>
    <row r="161" spans="2:5">
      <c r="B161" s="18" t="s">
        <v>12</v>
      </c>
      <c r="C161" s="18">
        <v>1357.4373499999999</v>
      </c>
      <c r="D161" s="18">
        <v>6433.17</v>
      </c>
      <c r="E161" s="25">
        <f t="shared" si="74"/>
        <v>4.7392021443936256</v>
      </c>
    </row>
    <row r="162" spans="2:5">
      <c r="B162" s="18" t="s">
        <v>5</v>
      </c>
      <c r="C162" s="18">
        <v>13678.87241</v>
      </c>
      <c r="D162" s="18">
        <v>59114.622000000003</v>
      </c>
      <c r="E162" s="25">
        <f t="shared" si="74"/>
        <v>4.3216005112222549</v>
      </c>
    </row>
    <row r="163" spans="2:5">
      <c r="B163" s="18" t="s">
        <v>21</v>
      </c>
      <c r="C163" s="18">
        <v>101019.2208</v>
      </c>
      <c r="D163" s="18">
        <v>346048.36849999998</v>
      </c>
      <c r="E163" s="25">
        <f t="shared" si="74"/>
        <v>3.4255695674500788</v>
      </c>
    </row>
    <row r="164" spans="2:5">
      <c r="B164" s="18" t="s">
        <v>22</v>
      </c>
      <c r="C164" s="18">
        <v>85685.705979999999</v>
      </c>
      <c r="D164" s="18">
        <v>97675.34</v>
      </c>
      <c r="E164" s="25">
        <f t="shared" si="74"/>
        <v>1.1399257190318128</v>
      </c>
    </row>
    <row r="165" spans="2:5">
      <c r="B165" s="18" t="s">
        <v>23</v>
      </c>
      <c r="C165" s="18">
        <v>159001.84830000001</v>
      </c>
      <c r="D165" s="18">
        <v>352137.21633000002</v>
      </c>
      <c r="E165" s="25">
        <f t="shared" si="74"/>
        <v>2.2146737292361398</v>
      </c>
    </row>
    <row r="166" spans="2:5">
      <c r="B166" s="18" t="s">
        <v>24</v>
      </c>
      <c r="C166" s="18">
        <v>8392.7524799999992</v>
      </c>
      <c r="D166" s="18">
        <v>13450.17877</v>
      </c>
      <c r="E166" s="25">
        <f t="shared" si="74"/>
        <v>1.6025944768479579</v>
      </c>
    </row>
    <row r="167" spans="2:5">
      <c r="B167" s="18" t="s">
        <v>25</v>
      </c>
      <c r="C167" s="18">
        <v>11568.46715</v>
      </c>
      <c r="D167" s="18">
        <v>60292.732349999998</v>
      </c>
      <c r="E167" s="25">
        <f t="shared" si="74"/>
        <v>5.2118168784357914</v>
      </c>
    </row>
    <row r="168" spans="2:5">
      <c r="B168" s="18" t="s">
        <v>26</v>
      </c>
      <c r="C168" s="18">
        <v>9927.64</v>
      </c>
      <c r="D168" s="18">
        <v>26796</v>
      </c>
      <c r="E168" s="25">
        <f t="shared" si="74"/>
        <v>2.6991309112739788</v>
      </c>
    </row>
    <row r="169" spans="2:5">
      <c r="B169" s="18" t="s">
        <v>27</v>
      </c>
      <c r="C169" s="18">
        <v>61439.77723</v>
      </c>
      <c r="D169" s="18">
        <v>206000.43948999999</v>
      </c>
      <c r="E169" s="25">
        <f t="shared" si="74"/>
        <v>3.352883893423583</v>
      </c>
    </row>
    <row r="170" spans="2:5">
      <c r="B170" s="18" t="s">
        <v>46</v>
      </c>
      <c r="C170" s="22"/>
      <c r="D170" s="18"/>
      <c r="E170" s="25"/>
    </row>
    <row r="171" spans="2:5">
      <c r="B171" s="18" t="s">
        <v>28</v>
      </c>
      <c r="C171" s="18">
        <v>5195.3641900000002</v>
      </c>
      <c r="D171" s="18">
        <v>16708.846560000002</v>
      </c>
      <c r="E171" s="25">
        <f t="shared" si="74"/>
        <v>3.216106888552889</v>
      </c>
    </row>
    <row r="172" spans="2:5">
      <c r="B172" s="18" t="s">
        <v>29</v>
      </c>
      <c r="C172" s="18">
        <v>27193.957559999999</v>
      </c>
      <c r="D172" s="18">
        <v>147687.27632</v>
      </c>
      <c r="E172" s="25">
        <f t="shared" si="74"/>
        <v>5.4308857397510772</v>
      </c>
    </row>
    <row r="173" spans="2:5">
      <c r="B173" s="18" t="s">
        <v>7</v>
      </c>
      <c r="C173" s="18">
        <v>12452.16244</v>
      </c>
      <c r="D173" s="18">
        <v>57311.391499999998</v>
      </c>
      <c r="E173" s="25">
        <f t="shared" si="74"/>
        <v>4.602525206055696</v>
      </c>
    </row>
    <row r="174" spans="2:5">
      <c r="B174" s="18" t="s">
        <v>13</v>
      </c>
      <c r="C174" s="18">
        <v>746.75994000000003</v>
      </c>
      <c r="D174" s="18">
        <v>10770.818740000001</v>
      </c>
      <c r="E174" s="25">
        <f t="shared" si="74"/>
        <v>14.423401903428296</v>
      </c>
    </row>
    <row r="175" spans="2:5">
      <c r="B175" s="18" t="s">
        <v>30</v>
      </c>
      <c r="C175" s="18">
        <v>763.79951000000005</v>
      </c>
      <c r="D175" s="18">
        <v>7977.2397099999998</v>
      </c>
      <c r="E175" s="25">
        <f t="shared" si="74"/>
        <v>10.444154003188611</v>
      </c>
    </row>
    <row r="176" spans="2:5">
      <c r="B176" s="18" t="s">
        <v>31</v>
      </c>
      <c r="C176" s="18">
        <v>4316.4694600000003</v>
      </c>
      <c r="D176" s="18">
        <v>36180.682150000001</v>
      </c>
      <c r="E176" s="25">
        <f t="shared" si="74"/>
        <v>8.3820081400506421</v>
      </c>
    </row>
    <row r="177" spans="2:5">
      <c r="B177" s="18" t="s">
        <v>32</v>
      </c>
      <c r="C177" s="18">
        <v>7529.6390199999996</v>
      </c>
      <c r="D177" s="18">
        <v>21481.661146679999</v>
      </c>
      <c r="E177" s="25">
        <f t="shared" si="74"/>
        <v>2.8529470124160081</v>
      </c>
    </row>
    <row r="178" spans="2:5">
      <c r="B178" s="18" t="s">
        <v>14</v>
      </c>
      <c r="C178" s="18">
        <v>17449.588299999999</v>
      </c>
      <c r="D178" s="18">
        <v>9740.4853773899995</v>
      </c>
      <c r="E178" s="25">
        <f t="shared" si="74"/>
        <v>0.55820717428559619</v>
      </c>
    </row>
    <row r="179" spans="2:5">
      <c r="B179" s="18" t="s">
        <v>33</v>
      </c>
      <c r="C179" s="18">
        <v>2933.9647100000002</v>
      </c>
      <c r="D179" s="18">
        <v>17733.976309999998</v>
      </c>
      <c r="E179" s="25">
        <f t="shared" si="74"/>
        <v>6.0443727388936441</v>
      </c>
    </row>
    <row r="180" spans="2:5">
      <c r="B180" s="18" t="s">
        <v>4</v>
      </c>
      <c r="C180" s="18">
        <v>30264.27405</v>
      </c>
      <c r="D180" s="18">
        <v>73158.331179999994</v>
      </c>
      <c r="E180" s="25">
        <f t="shared" si="74"/>
        <v>2.4173165713188483</v>
      </c>
    </row>
    <row r="181" spans="2:5">
      <c r="B181" s="18" t="s">
        <v>34</v>
      </c>
      <c r="C181" s="18">
        <v>965.70839999999998</v>
      </c>
      <c r="D181" s="18">
        <v>10861.96075</v>
      </c>
      <c r="E181" s="25">
        <f t="shared" si="74"/>
        <v>11.247661043437128</v>
      </c>
    </row>
    <row r="182" spans="2:5">
      <c r="B182" s="18" t="s">
        <v>35</v>
      </c>
      <c r="C182" s="18">
        <v>18825.725689999999</v>
      </c>
      <c r="D182" s="18">
        <v>68478.676600000006</v>
      </c>
      <c r="E182" s="25">
        <f t="shared" si="74"/>
        <v>3.63750528014838</v>
      </c>
    </row>
    <row r="183" spans="2:5">
      <c r="B183" s="18" t="s">
        <v>36</v>
      </c>
      <c r="C183" s="18">
        <v>2314.67353</v>
      </c>
      <c r="D183" s="18">
        <v>22265.564409999999</v>
      </c>
      <c r="E183" s="25">
        <f t="shared" si="74"/>
        <v>9.6193109401480044</v>
      </c>
    </row>
    <row r="184" spans="2:5">
      <c r="B184" s="18" t="s">
        <v>37</v>
      </c>
      <c r="C184" s="18">
        <v>4091.6948900000002</v>
      </c>
      <c r="D184" s="18">
        <v>17691.915290000001</v>
      </c>
      <c r="E184" s="25">
        <f t="shared" si="74"/>
        <v>4.323859858964215</v>
      </c>
    </row>
    <row r="185" spans="2:5">
      <c r="B185" s="18" t="s">
        <v>38</v>
      </c>
      <c r="C185" s="18">
        <v>6761.5529999999999</v>
      </c>
      <c r="D185" s="18">
        <v>15105.779</v>
      </c>
      <c r="E185" s="25">
        <f t="shared" si="74"/>
        <v>2.2340694512044794</v>
      </c>
    </row>
    <row r="186" spans="2:5">
      <c r="B186" s="18" t="s">
        <v>39</v>
      </c>
      <c r="C186" s="18">
        <v>5350.3410199999998</v>
      </c>
      <c r="D186" s="18">
        <v>72440.347110000002</v>
      </c>
      <c r="E186" s="25">
        <f t="shared" si="74"/>
        <v>13.539388767783629</v>
      </c>
    </row>
    <row r="187" spans="2:5">
      <c r="B187" s="18" t="s">
        <v>40</v>
      </c>
      <c r="C187" s="18">
        <v>22222.209569999999</v>
      </c>
      <c r="D187" s="18">
        <v>80477.129400000005</v>
      </c>
      <c r="E187" s="25">
        <f t="shared" si="74"/>
        <v>3.6214728848855873</v>
      </c>
    </row>
    <row r="188" spans="2:5">
      <c r="B188" s="18" t="s">
        <v>41</v>
      </c>
      <c r="C188" s="18">
        <v>48849.35961</v>
      </c>
      <c r="D188" s="18">
        <v>122546.49842</v>
      </c>
      <c r="E188" s="25">
        <f t="shared" si="74"/>
        <v>2.5086613089378842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6791-C6CC-2045-A425-BB5F369A5BCC}">
  <dimension ref="A1:AD267"/>
  <sheetViews>
    <sheetView zoomScale="75" workbookViewId="0">
      <selection activeCell="A267" sqref="A267"/>
    </sheetView>
  </sheetViews>
  <sheetFormatPr baseColWidth="10" defaultRowHeight="16"/>
  <cols>
    <col min="1" max="1" width="9.28515625" bestFit="1" customWidth="1"/>
    <col min="2" max="2" width="17.85546875" bestFit="1" customWidth="1"/>
    <col min="3" max="3" width="18.42578125" bestFit="1" customWidth="1"/>
    <col min="4" max="4" width="18.42578125" customWidth="1"/>
    <col min="5" max="30" width="15.7109375" customWidth="1"/>
  </cols>
  <sheetData>
    <row r="1" spans="1:30">
      <c r="A1" s="1" t="s">
        <v>82</v>
      </c>
      <c r="B1" s="1" t="s">
        <v>90</v>
      </c>
      <c r="C1" s="1" t="s">
        <v>95</v>
      </c>
      <c r="D1" s="1" t="s">
        <v>16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</row>
    <row r="2" spans="1:30">
      <c r="A2" s="1" t="s">
        <v>84</v>
      </c>
      <c r="B2" s="1" t="s">
        <v>3</v>
      </c>
      <c r="C2" s="1" t="s">
        <v>3</v>
      </c>
      <c r="D2" s="1" t="s">
        <v>3</v>
      </c>
      <c r="E2" s="1">
        <v>21575.61</v>
      </c>
      <c r="F2" s="1">
        <v>20882.8</v>
      </c>
      <c r="G2" s="1">
        <v>21327.97</v>
      </c>
      <c r="H2" s="1">
        <v>22025.17</v>
      </c>
      <c r="I2" s="1">
        <v>23356.22</v>
      </c>
      <c r="J2" s="1">
        <v>22447.34</v>
      </c>
      <c r="K2" s="1">
        <v>22788.31</v>
      </c>
      <c r="L2" s="1">
        <v>23612.76</v>
      </c>
      <c r="M2" s="1">
        <v>23803.54</v>
      </c>
      <c r="N2" s="1">
        <v>24412.68</v>
      </c>
      <c r="O2" s="1">
        <v>25579.57</v>
      </c>
      <c r="P2" s="1">
        <v>26515.48</v>
      </c>
      <c r="Q2" s="1">
        <v>27685.11</v>
      </c>
      <c r="R2" s="1">
        <v>28980.43</v>
      </c>
      <c r="S2" s="1">
        <v>29690.560000000001</v>
      </c>
      <c r="T2" s="1">
        <v>31186.38</v>
      </c>
      <c r="U2" s="1">
        <v>32355.09</v>
      </c>
      <c r="V2" s="1">
        <v>34052.85</v>
      </c>
      <c r="W2" s="1">
        <v>35426.160000000003</v>
      </c>
      <c r="X2" s="1">
        <v>36626.71</v>
      </c>
      <c r="Y2" s="1">
        <v>37899.519999999997</v>
      </c>
      <c r="Z2" s="1">
        <v>37768.080000000002</v>
      </c>
      <c r="AA2" s="1">
        <v>39005.089999999997</v>
      </c>
      <c r="AB2" s="1">
        <v>41626.32</v>
      </c>
      <c r="AC2" s="1">
        <v>42121.38</v>
      </c>
      <c r="AD2" s="1">
        <v>43637.59</v>
      </c>
    </row>
    <row r="3" spans="1:30">
      <c r="A3" s="1" t="s">
        <v>84</v>
      </c>
      <c r="B3" s="1" t="s">
        <v>11</v>
      </c>
      <c r="C3" s="1" t="s">
        <v>11</v>
      </c>
      <c r="D3" s="1" t="s">
        <v>11</v>
      </c>
      <c r="E3" s="1">
        <v>10487.44</v>
      </c>
      <c r="F3" s="1">
        <v>11082.48</v>
      </c>
      <c r="G3" s="1">
        <v>11488.73</v>
      </c>
      <c r="H3" s="1">
        <v>11905.69</v>
      </c>
      <c r="I3" s="1">
        <v>12341.19</v>
      </c>
      <c r="J3" s="1">
        <v>12858.93</v>
      </c>
      <c r="K3" s="1">
        <v>13386.6</v>
      </c>
      <c r="L3" s="1">
        <v>14618.96</v>
      </c>
      <c r="M3" s="1">
        <v>14963.8</v>
      </c>
      <c r="N3" s="1">
        <v>15813.19</v>
      </c>
      <c r="O3" s="1">
        <v>16092.72</v>
      </c>
      <c r="P3" s="1">
        <v>16258.74</v>
      </c>
      <c r="Q3" s="1">
        <v>16969.88</v>
      </c>
      <c r="R3" s="1">
        <v>17343.29</v>
      </c>
      <c r="S3" s="1">
        <v>18151.21</v>
      </c>
      <c r="T3" s="1">
        <v>18637.349999999999</v>
      </c>
      <c r="U3" s="1">
        <v>19295.7</v>
      </c>
      <c r="V3" s="1">
        <v>19821.71</v>
      </c>
      <c r="W3" s="1">
        <v>20760.22</v>
      </c>
      <c r="X3" s="1">
        <v>21479.55</v>
      </c>
      <c r="Y3" s="1">
        <v>21269.19</v>
      </c>
      <c r="Z3" s="1">
        <v>21338.45</v>
      </c>
      <c r="AA3" s="1">
        <v>21157.3</v>
      </c>
      <c r="AB3" s="1">
        <v>21058.7</v>
      </c>
      <c r="AC3" s="1">
        <v>21586.55</v>
      </c>
      <c r="AD3" s="1">
        <v>21954.29</v>
      </c>
    </row>
    <row r="4" spans="1:30">
      <c r="A4" s="1" t="s">
        <v>84</v>
      </c>
      <c r="B4" s="1" t="s">
        <v>59</v>
      </c>
      <c r="C4" s="1" t="s">
        <v>28</v>
      </c>
      <c r="D4" s="1" t="s">
        <v>28</v>
      </c>
      <c r="E4" s="1">
        <v>3798.22</v>
      </c>
      <c r="F4" s="1">
        <v>4111.4399999999996</v>
      </c>
      <c r="G4" s="1">
        <v>4317.4399999999996</v>
      </c>
      <c r="H4" s="1">
        <v>4410.78</v>
      </c>
      <c r="I4" s="1">
        <v>4606.99</v>
      </c>
      <c r="J4" s="1">
        <v>4824.45</v>
      </c>
      <c r="K4" s="1">
        <v>5090.6000000000004</v>
      </c>
      <c r="L4" s="1">
        <v>5244.62</v>
      </c>
      <c r="M4" s="1">
        <v>5457.99</v>
      </c>
      <c r="N4" s="1">
        <v>5658.28</v>
      </c>
      <c r="O4" s="1">
        <v>6097.69</v>
      </c>
      <c r="P4" s="1">
        <v>6642.8</v>
      </c>
      <c r="Q4" s="1">
        <v>7072.89</v>
      </c>
      <c r="R4" s="1">
        <v>7557.66</v>
      </c>
      <c r="S4" s="1">
        <v>8254.34</v>
      </c>
      <c r="T4" s="1">
        <v>8743.51</v>
      </c>
      <c r="U4" s="1">
        <v>9123.19</v>
      </c>
      <c r="V4" s="1">
        <v>9095.69</v>
      </c>
      <c r="W4" s="1">
        <v>9589.7199999999993</v>
      </c>
      <c r="X4" s="1">
        <v>9862.83</v>
      </c>
      <c r="Y4" s="1">
        <v>10666.36</v>
      </c>
      <c r="Z4" s="1">
        <v>10768.72</v>
      </c>
      <c r="AA4" s="1">
        <v>10875.68</v>
      </c>
      <c r="AB4" s="1">
        <v>11281.88</v>
      </c>
      <c r="AC4" s="1">
        <v>11634.94</v>
      </c>
      <c r="AD4" s="1">
        <v>12003.87</v>
      </c>
    </row>
    <row r="5" spans="1:30">
      <c r="A5" s="1" t="s">
        <v>84</v>
      </c>
      <c r="B5" s="1" t="s">
        <v>10</v>
      </c>
      <c r="C5" s="1" t="s">
        <v>10</v>
      </c>
      <c r="D5" s="1" t="s">
        <v>10</v>
      </c>
      <c r="E5" s="1">
        <v>10985.99</v>
      </c>
      <c r="F5" s="1">
        <v>11506.54</v>
      </c>
      <c r="G5" s="1">
        <v>11692.12</v>
      </c>
      <c r="H5" s="1">
        <v>12037.69</v>
      </c>
      <c r="I5" s="1">
        <v>12287.14</v>
      </c>
      <c r="J5" s="1">
        <v>12614.58</v>
      </c>
      <c r="K5" s="1">
        <v>12535.72</v>
      </c>
      <c r="L5" s="1">
        <v>14118.95</v>
      </c>
      <c r="M5" s="1">
        <v>14569.42</v>
      </c>
      <c r="N5" s="1">
        <v>15354.49</v>
      </c>
      <c r="O5" s="1">
        <v>16737.61</v>
      </c>
      <c r="P5" s="1">
        <v>17242.080000000002</v>
      </c>
      <c r="Q5" s="1">
        <v>17793.38</v>
      </c>
      <c r="R5" s="1">
        <v>18990.919999999998</v>
      </c>
      <c r="S5" s="1">
        <v>19456.95</v>
      </c>
      <c r="T5" s="1">
        <v>20743.47</v>
      </c>
      <c r="U5" s="1">
        <v>22108.75</v>
      </c>
      <c r="V5" s="1">
        <v>23055.55</v>
      </c>
      <c r="W5" s="1">
        <v>23880.77</v>
      </c>
      <c r="X5" s="1">
        <v>24408.33</v>
      </c>
      <c r="Y5" s="1">
        <v>25275.08</v>
      </c>
      <c r="Z5" s="1">
        <v>25416.58</v>
      </c>
      <c r="AA5" s="1">
        <v>26490.53</v>
      </c>
      <c r="AB5" s="1">
        <v>26531.3</v>
      </c>
      <c r="AC5" s="1">
        <v>26703.35</v>
      </c>
      <c r="AD5" s="1">
        <v>29266.23</v>
      </c>
    </row>
    <row r="6" spans="1:30">
      <c r="A6" s="1" t="s">
        <v>84</v>
      </c>
      <c r="B6" s="1" t="s">
        <v>6</v>
      </c>
      <c r="C6" s="1" t="s">
        <v>6</v>
      </c>
      <c r="D6" s="1" t="s">
        <v>6</v>
      </c>
      <c r="E6" s="1">
        <v>5728.65</v>
      </c>
      <c r="F6" s="1">
        <v>5937.16</v>
      </c>
      <c r="G6" s="1">
        <v>6202.04</v>
      </c>
      <c r="H6" s="1">
        <v>6565.87</v>
      </c>
      <c r="I6" s="1">
        <v>6928.19</v>
      </c>
      <c r="J6" s="1">
        <v>7331.42</v>
      </c>
      <c r="K6" s="1">
        <v>7751.37</v>
      </c>
      <c r="L6" s="1">
        <v>8189.66</v>
      </c>
      <c r="M6" s="1">
        <v>8643.42</v>
      </c>
      <c r="N6" s="1">
        <v>9119.25</v>
      </c>
      <c r="O6" s="1">
        <v>9343.9599999999991</v>
      </c>
      <c r="P6" s="1">
        <v>9734.67</v>
      </c>
      <c r="Q6" s="1">
        <v>10272.89</v>
      </c>
      <c r="R6" s="1">
        <v>10687.21</v>
      </c>
      <c r="S6" s="1">
        <v>10950.44</v>
      </c>
      <c r="T6" s="1">
        <v>11197.98</v>
      </c>
      <c r="U6" s="1">
        <v>11551.54</v>
      </c>
      <c r="V6" s="1">
        <v>11929.47</v>
      </c>
      <c r="W6" s="1">
        <v>12309.49</v>
      </c>
      <c r="X6" s="1">
        <v>12747.26</v>
      </c>
      <c r="Y6" s="1">
        <v>12795.99</v>
      </c>
      <c r="Z6" s="1">
        <v>13109.72</v>
      </c>
      <c r="AA6" s="1">
        <v>13699.33</v>
      </c>
      <c r="AB6" s="1">
        <v>13981.69</v>
      </c>
      <c r="AC6" s="1">
        <v>14341.27</v>
      </c>
      <c r="AD6" s="1">
        <v>14930.39</v>
      </c>
    </row>
    <row r="7" spans="1:30">
      <c r="A7" s="1" t="s">
        <v>84</v>
      </c>
      <c r="B7" s="1" t="s">
        <v>62</v>
      </c>
      <c r="C7" s="1" t="s">
        <v>22</v>
      </c>
      <c r="D7" s="1" t="s">
        <v>22</v>
      </c>
      <c r="E7" s="1">
        <v>74414.100000000006</v>
      </c>
      <c r="F7" s="1">
        <v>75249.33</v>
      </c>
      <c r="G7" s="1">
        <v>78974.16</v>
      </c>
      <c r="H7" s="1">
        <v>77357.679999999993</v>
      </c>
      <c r="I7" s="1">
        <v>81484.100000000006</v>
      </c>
      <c r="J7" s="1">
        <v>85239.54</v>
      </c>
      <c r="K7" s="1">
        <v>88308.93</v>
      </c>
      <c r="L7" s="1">
        <v>90760.04</v>
      </c>
      <c r="M7" s="1">
        <v>93659.82</v>
      </c>
      <c r="N7" s="1">
        <v>97136.21</v>
      </c>
      <c r="O7" s="1">
        <v>99572.44</v>
      </c>
      <c r="P7" s="1">
        <v>103389.33</v>
      </c>
      <c r="Q7" s="1">
        <v>106536.7</v>
      </c>
      <c r="R7" s="1">
        <v>108832.11</v>
      </c>
      <c r="S7" s="1">
        <v>107793.38</v>
      </c>
      <c r="T7" s="1">
        <v>113826.3</v>
      </c>
      <c r="U7" s="1">
        <v>116331.12</v>
      </c>
      <c r="V7" s="1">
        <v>118450.17</v>
      </c>
      <c r="W7" s="1">
        <v>121554.48</v>
      </c>
      <c r="X7" s="1">
        <v>123150.02</v>
      </c>
      <c r="Y7" s="1">
        <v>126111.76</v>
      </c>
      <c r="Z7" s="1">
        <v>127065.84</v>
      </c>
      <c r="AA7" s="1">
        <v>130762.52</v>
      </c>
      <c r="AB7" s="1">
        <v>131330.54</v>
      </c>
      <c r="AC7" s="1">
        <v>133162.54</v>
      </c>
      <c r="AD7" s="1">
        <v>139530.4</v>
      </c>
    </row>
    <row r="8" spans="1:30">
      <c r="A8" s="1" t="s">
        <v>84</v>
      </c>
      <c r="B8" s="1" t="s">
        <v>66</v>
      </c>
      <c r="C8" s="1" t="s">
        <v>26</v>
      </c>
      <c r="D8" s="1" t="s">
        <v>26</v>
      </c>
      <c r="E8" s="1">
        <v>11342.89</v>
      </c>
      <c r="F8" s="1">
        <v>11846.56</v>
      </c>
      <c r="G8" s="1">
        <v>11594.9</v>
      </c>
      <c r="H8" s="1">
        <v>12535.97</v>
      </c>
      <c r="I8" s="1">
        <v>12561.59</v>
      </c>
      <c r="J8" s="1">
        <v>12695.63</v>
      </c>
      <c r="K8" s="1">
        <v>13122.8</v>
      </c>
      <c r="L8" s="1">
        <v>13175.81</v>
      </c>
      <c r="M8" s="1">
        <v>13118.8</v>
      </c>
      <c r="N8" s="1">
        <v>13541.43</v>
      </c>
      <c r="O8" s="1">
        <v>13935.36</v>
      </c>
      <c r="P8" s="1">
        <v>14165.41</v>
      </c>
      <c r="Q8" s="1">
        <v>14536.58</v>
      </c>
      <c r="R8" s="1">
        <v>15028.38</v>
      </c>
      <c r="S8" s="1">
        <v>16080.17</v>
      </c>
      <c r="T8" s="1">
        <v>17031.88</v>
      </c>
      <c r="U8" s="1">
        <v>17686.419999999998</v>
      </c>
      <c r="V8" s="1">
        <v>18514.009999999998</v>
      </c>
      <c r="W8" s="1">
        <v>19824.580000000002</v>
      </c>
      <c r="X8" s="1">
        <v>21250.83</v>
      </c>
      <c r="Y8" s="1">
        <v>21304.92</v>
      </c>
      <c r="Z8" s="1">
        <v>22073.16</v>
      </c>
      <c r="AA8" s="1">
        <v>22834.25</v>
      </c>
      <c r="AB8" s="1">
        <v>23830.77</v>
      </c>
      <c r="AC8" s="1">
        <v>24138.62</v>
      </c>
      <c r="AD8" s="1">
        <v>25090.12</v>
      </c>
    </row>
    <row r="9" spans="1:30">
      <c r="A9" s="1" t="s">
        <v>84</v>
      </c>
      <c r="B9" s="1" t="s">
        <v>80</v>
      </c>
      <c r="C9" s="1" t="s">
        <v>93</v>
      </c>
      <c r="D9" s="1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3769.69</v>
      </c>
      <c r="AB9" s="1">
        <v>3829.34</v>
      </c>
      <c r="AC9" s="1">
        <v>3865.81</v>
      </c>
      <c r="AD9" s="1">
        <v>3966.19</v>
      </c>
    </row>
    <row r="10" spans="1:30">
      <c r="A10" s="1" t="s">
        <v>84</v>
      </c>
      <c r="B10" s="1" t="s">
        <v>72</v>
      </c>
      <c r="C10" s="1" t="s">
        <v>36</v>
      </c>
      <c r="D10" s="1" t="s">
        <v>36</v>
      </c>
      <c r="E10" s="1">
        <v>10450.93</v>
      </c>
      <c r="F10" s="1">
        <v>11123.93</v>
      </c>
      <c r="G10" s="1">
        <v>11885.49</v>
      </c>
      <c r="H10" s="1">
        <v>12772.13</v>
      </c>
      <c r="I10" s="1">
        <v>13766.84</v>
      </c>
      <c r="J10" s="1">
        <v>14650.9</v>
      </c>
      <c r="K10" s="1">
        <v>15448.99</v>
      </c>
      <c r="L10" s="1">
        <v>16550.240000000002</v>
      </c>
      <c r="M10" s="1">
        <v>17312.7</v>
      </c>
      <c r="N10" s="1">
        <v>18419.21</v>
      </c>
      <c r="O10" s="1">
        <v>19523.490000000002</v>
      </c>
      <c r="P10" s="1">
        <v>20711.36</v>
      </c>
      <c r="Q10" s="1">
        <v>21923.49</v>
      </c>
      <c r="R10" s="1">
        <v>23163.93</v>
      </c>
      <c r="S10" s="1">
        <v>24728.720000000001</v>
      </c>
      <c r="T10" s="1">
        <v>26297.82</v>
      </c>
      <c r="U10" s="1">
        <v>26929.49</v>
      </c>
      <c r="V10" s="1">
        <v>28131.33</v>
      </c>
      <c r="W10" s="1">
        <v>29340.85</v>
      </c>
      <c r="X10" s="1">
        <v>29995.99</v>
      </c>
      <c r="Y10" s="1">
        <v>29593.65</v>
      </c>
      <c r="Z10" s="1">
        <v>30793.119999999999</v>
      </c>
      <c r="AA10" s="1">
        <v>31639.57</v>
      </c>
      <c r="AB10" s="1">
        <v>32224.74</v>
      </c>
      <c r="AC10" s="1">
        <v>32848.019999999997</v>
      </c>
      <c r="AD10" s="1">
        <v>34309.75</v>
      </c>
    </row>
    <row r="11" spans="1:30">
      <c r="A11" s="1" t="s">
        <v>84</v>
      </c>
      <c r="B11" s="1" t="s">
        <v>9</v>
      </c>
      <c r="C11" s="1" t="s">
        <v>9</v>
      </c>
      <c r="D11" s="1" t="s">
        <v>9</v>
      </c>
      <c r="E11" s="1">
        <v>5533.2</v>
      </c>
      <c r="F11" s="1">
        <v>5759.8</v>
      </c>
      <c r="G11" s="1">
        <v>5860.64</v>
      </c>
      <c r="H11" s="1">
        <v>5886.44</v>
      </c>
      <c r="I11" s="1">
        <v>6095.14</v>
      </c>
      <c r="J11" s="1">
        <v>6360.34</v>
      </c>
      <c r="K11" s="1">
        <v>6602.23</v>
      </c>
      <c r="L11" s="1">
        <v>6655.05</v>
      </c>
      <c r="M11" s="1">
        <v>7035.5</v>
      </c>
      <c r="N11" s="1">
        <v>7272.59</v>
      </c>
      <c r="O11" s="1">
        <v>7252.6</v>
      </c>
      <c r="P11" s="1">
        <v>7134.68</v>
      </c>
      <c r="Q11" s="1">
        <v>7500.73</v>
      </c>
      <c r="R11" s="1">
        <v>7670.03</v>
      </c>
      <c r="S11" s="1">
        <v>7508.98</v>
      </c>
      <c r="T11" s="1">
        <v>7667.6</v>
      </c>
      <c r="U11" s="1">
        <v>7779.8</v>
      </c>
      <c r="V11" s="1">
        <v>7930.31</v>
      </c>
      <c r="W11" s="1">
        <v>8101.23</v>
      </c>
      <c r="X11" s="1">
        <v>8184.19</v>
      </c>
      <c r="Y11" s="1">
        <v>8534.64</v>
      </c>
      <c r="Z11" s="1">
        <v>8638.19</v>
      </c>
      <c r="AA11" s="1">
        <v>9077.7800000000007</v>
      </c>
      <c r="AB11" s="1">
        <v>9194.0300000000007</v>
      </c>
      <c r="AC11" s="1">
        <v>9206.5</v>
      </c>
      <c r="AD11" s="1">
        <v>9791.84</v>
      </c>
    </row>
    <row r="12" spans="1:30">
      <c r="A12" s="1" t="s">
        <v>84</v>
      </c>
      <c r="B12" s="1" t="s">
        <v>8</v>
      </c>
      <c r="C12" s="1" t="s">
        <v>8</v>
      </c>
      <c r="D12" s="1" t="s">
        <v>8</v>
      </c>
      <c r="E12" s="1">
        <v>1640.57</v>
      </c>
      <c r="F12" s="1">
        <v>1594.77</v>
      </c>
      <c r="G12" s="1">
        <v>1448.79</v>
      </c>
      <c r="H12" s="1">
        <v>1221.17</v>
      </c>
      <c r="I12" s="1">
        <v>1205.6099999999999</v>
      </c>
      <c r="J12" s="1">
        <v>1218.29</v>
      </c>
      <c r="K12" s="1">
        <v>1232.01</v>
      </c>
      <c r="L12" s="1">
        <v>1251.06</v>
      </c>
      <c r="M12" s="1">
        <v>1260.72</v>
      </c>
      <c r="N12" s="1">
        <v>1265.06</v>
      </c>
      <c r="O12" s="1">
        <v>1275.6300000000001</v>
      </c>
      <c r="P12" s="1">
        <v>1277.28</v>
      </c>
      <c r="Q12" s="1">
        <v>1319.31</v>
      </c>
      <c r="R12" s="1">
        <v>1353.56</v>
      </c>
      <c r="S12" s="1">
        <v>1359.95</v>
      </c>
      <c r="T12" s="1">
        <v>1375.42</v>
      </c>
      <c r="U12" s="1">
        <v>1387.53</v>
      </c>
      <c r="V12" s="1">
        <v>1391.53</v>
      </c>
      <c r="W12" s="1">
        <v>1394.05</v>
      </c>
      <c r="X12" s="1">
        <v>1398.22</v>
      </c>
      <c r="Y12" s="1">
        <v>1405.1</v>
      </c>
      <c r="Z12" s="1">
        <v>1463.34</v>
      </c>
      <c r="AA12" s="1">
        <v>1501.26</v>
      </c>
      <c r="AB12" s="1">
        <v>1443.04</v>
      </c>
      <c r="AC12" s="1">
        <v>1516.95</v>
      </c>
      <c r="AD12" s="1">
        <v>1561.67</v>
      </c>
    </row>
    <row r="13" spans="1:30">
      <c r="A13" s="1" t="s">
        <v>84</v>
      </c>
      <c r="B13" s="1" t="s">
        <v>63</v>
      </c>
      <c r="C13" s="1" t="s">
        <v>23</v>
      </c>
      <c r="D13" s="1" t="s">
        <v>23</v>
      </c>
      <c r="E13" s="1">
        <v>104112.98</v>
      </c>
      <c r="F13" s="1">
        <v>105425.77</v>
      </c>
      <c r="G13" s="1">
        <v>107560.12</v>
      </c>
      <c r="H13" s="1">
        <v>109612.12</v>
      </c>
      <c r="I13" s="1">
        <v>112702.18</v>
      </c>
      <c r="J13" s="1">
        <v>116264.13</v>
      </c>
      <c r="K13" s="1">
        <v>118147.24</v>
      </c>
      <c r="L13" s="1">
        <v>121859.06</v>
      </c>
      <c r="M13" s="1">
        <v>125664.22</v>
      </c>
      <c r="N13" s="1">
        <v>130589.82</v>
      </c>
      <c r="O13" s="1">
        <v>133504.56</v>
      </c>
      <c r="P13" s="1">
        <v>138870.09</v>
      </c>
      <c r="Q13" s="1">
        <v>146002.57</v>
      </c>
      <c r="R13" s="1">
        <v>150463.72</v>
      </c>
      <c r="S13" s="1">
        <v>155783.96</v>
      </c>
      <c r="T13" s="1">
        <v>160889.4</v>
      </c>
      <c r="U13" s="1">
        <v>164762.91</v>
      </c>
      <c r="V13" s="1">
        <v>167360.57</v>
      </c>
      <c r="W13" s="1">
        <v>163799.94</v>
      </c>
      <c r="X13" s="1">
        <v>165951.23000000001</v>
      </c>
      <c r="Y13" s="1">
        <v>167631.24</v>
      </c>
      <c r="Z13" s="1">
        <v>170556.77</v>
      </c>
      <c r="AA13" s="1">
        <v>173747.56</v>
      </c>
      <c r="AB13" s="1">
        <v>177668.37</v>
      </c>
      <c r="AC13" s="1">
        <v>177809.47</v>
      </c>
      <c r="AD13" s="1">
        <v>186662.71</v>
      </c>
    </row>
    <row r="14" spans="1:30">
      <c r="A14" s="1" t="s">
        <v>84</v>
      </c>
      <c r="B14" s="1" t="s">
        <v>69</v>
      </c>
      <c r="C14" s="1" t="s">
        <v>27</v>
      </c>
      <c r="D14" s="1" t="s">
        <v>27</v>
      </c>
      <c r="E14" s="1">
        <v>16282.68</v>
      </c>
      <c r="F14" s="1">
        <v>16580.669999999998</v>
      </c>
      <c r="G14" s="1">
        <v>17030</v>
      </c>
      <c r="H14" s="1">
        <v>17214.66</v>
      </c>
      <c r="I14" s="1">
        <v>17708.7</v>
      </c>
      <c r="J14" s="1">
        <v>18161.03</v>
      </c>
      <c r="K14" s="1">
        <v>18806.2</v>
      </c>
      <c r="L14" s="1">
        <v>19141.98</v>
      </c>
      <c r="M14" s="1">
        <v>19698.740000000002</v>
      </c>
      <c r="N14" s="1">
        <v>19993.009999999998</v>
      </c>
      <c r="O14" s="1">
        <v>21167.77</v>
      </c>
      <c r="P14" s="1">
        <v>22292.61</v>
      </c>
      <c r="Q14" s="1">
        <v>23991.79</v>
      </c>
      <c r="R14" s="1">
        <v>25535.67</v>
      </c>
      <c r="S14" s="1">
        <v>27267.200000000001</v>
      </c>
      <c r="T14" s="1">
        <v>28506.91</v>
      </c>
      <c r="U14" s="1">
        <v>28639.4</v>
      </c>
      <c r="V14" s="1">
        <v>30261.4</v>
      </c>
      <c r="W14" s="1">
        <v>32140.16</v>
      </c>
      <c r="X14" s="1">
        <v>33355.19</v>
      </c>
      <c r="Y14" s="1">
        <v>33026.69</v>
      </c>
      <c r="Z14" s="1">
        <v>33003.9</v>
      </c>
      <c r="AA14" s="1">
        <v>33712.58</v>
      </c>
      <c r="AB14" s="1">
        <v>34551.18</v>
      </c>
      <c r="AC14" s="1">
        <v>35368.75</v>
      </c>
      <c r="AD14" s="1">
        <v>38094.43</v>
      </c>
    </row>
    <row r="15" spans="1:30">
      <c r="A15" s="1" t="s">
        <v>84</v>
      </c>
      <c r="B15" s="1" t="s">
        <v>67</v>
      </c>
      <c r="C15" s="1" t="s">
        <v>32</v>
      </c>
      <c r="D15" s="1" t="s">
        <v>32</v>
      </c>
      <c r="E15" s="1">
        <v>10469.09</v>
      </c>
      <c r="F15" s="1">
        <v>10799.67</v>
      </c>
      <c r="G15" s="1">
        <v>11205.53</v>
      </c>
      <c r="H15" s="1">
        <v>11435.39</v>
      </c>
      <c r="I15" s="1">
        <v>11835.1</v>
      </c>
      <c r="J15" s="1">
        <v>11949.36</v>
      </c>
      <c r="K15" s="1">
        <v>12540.98</v>
      </c>
      <c r="L15" s="1">
        <v>12884.94</v>
      </c>
      <c r="M15" s="1">
        <v>13379.21</v>
      </c>
      <c r="N15" s="1">
        <v>13684.3</v>
      </c>
      <c r="O15" s="1">
        <v>13963.14</v>
      </c>
      <c r="P15" s="1">
        <v>14244.98</v>
      </c>
      <c r="Q15" s="1">
        <v>14669.95</v>
      </c>
      <c r="R15" s="1">
        <v>15069.63</v>
      </c>
      <c r="S15" s="1">
        <v>15613.95</v>
      </c>
      <c r="T15" s="1">
        <v>16123.17</v>
      </c>
      <c r="U15" s="1">
        <v>16512.689999999999</v>
      </c>
      <c r="V15" s="1">
        <v>17328.87</v>
      </c>
      <c r="W15" s="1">
        <v>17837.810000000001</v>
      </c>
      <c r="X15" s="1">
        <v>18496.009999999998</v>
      </c>
      <c r="Y15" s="1">
        <v>18680.64</v>
      </c>
      <c r="Z15" s="1">
        <v>19601.900000000001</v>
      </c>
      <c r="AA15" s="1">
        <v>20341.73</v>
      </c>
      <c r="AB15" s="1">
        <v>20842.3</v>
      </c>
      <c r="AC15" s="1">
        <v>21224.74</v>
      </c>
      <c r="AD15" s="1">
        <v>21967.56</v>
      </c>
    </row>
    <row r="16" spans="1:30">
      <c r="A16" s="1" t="s">
        <v>84</v>
      </c>
      <c r="B16" s="1" t="s">
        <v>12</v>
      </c>
      <c r="C16" s="1" t="s">
        <v>12</v>
      </c>
      <c r="D16" s="1" t="s">
        <v>12</v>
      </c>
      <c r="E16" s="1">
        <v>3287.79</v>
      </c>
      <c r="F16" s="1">
        <v>3519.47</v>
      </c>
      <c r="G16" s="1">
        <v>3826.86</v>
      </c>
      <c r="H16" s="1">
        <v>3998.73</v>
      </c>
      <c r="I16" s="1">
        <v>4125.1400000000003</v>
      </c>
      <c r="J16" s="1">
        <v>4432.57</v>
      </c>
      <c r="K16" s="1">
        <v>4784.47</v>
      </c>
      <c r="L16" s="1">
        <v>5134.78</v>
      </c>
      <c r="M16" s="1">
        <v>5548.66</v>
      </c>
      <c r="N16" s="1">
        <v>5742.5</v>
      </c>
      <c r="O16" s="1">
        <v>5977.73</v>
      </c>
      <c r="P16" s="1">
        <v>6321.23</v>
      </c>
      <c r="Q16" s="1">
        <v>6763.85</v>
      </c>
      <c r="R16" s="1">
        <v>7232.59</v>
      </c>
      <c r="S16" s="1">
        <v>7698.32</v>
      </c>
      <c r="T16" s="1">
        <v>8024.61</v>
      </c>
      <c r="U16" s="1">
        <v>8540.36</v>
      </c>
      <c r="V16" s="1">
        <v>9314.3700000000008</v>
      </c>
      <c r="W16" s="1">
        <v>10019.049999999999</v>
      </c>
      <c r="X16" s="1">
        <v>10652.83</v>
      </c>
      <c r="Y16" s="1">
        <v>10478.780000000001</v>
      </c>
      <c r="Z16" s="1">
        <v>10663.64</v>
      </c>
      <c r="AA16" s="1">
        <v>10907.95</v>
      </c>
      <c r="AB16" s="1">
        <v>11365.5</v>
      </c>
      <c r="AC16" s="1">
        <v>11719.48</v>
      </c>
      <c r="AD16" s="1">
        <v>12205.24</v>
      </c>
    </row>
    <row r="17" spans="1:30">
      <c r="A17" s="1" t="s">
        <v>84</v>
      </c>
      <c r="B17" s="1" t="s">
        <v>5</v>
      </c>
      <c r="C17" s="1" t="s">
        <v>5</v>
      </c>
      <c r="D17" s="1" t="s">
        <v>5</v>
      </c>
      <c r="E17" s="1">
        <v>13821.41</v>
      </c>
      <c r="F17" s="1">
        <v>14334.5</v>
      </c>
      <c r="G17" s="1">
        <v>15029.5</v>
      </c>
      <c r="H17" s="1">
        <v>15563.87</v>
      </c>
      <c r="I17" s="1">
        <v>16354.9</v>
      </c>
      <c r="J17" s="1">
        <v>17108.3</v>
      </c>
      <c r="K17" s="1">
        <v>19047.669999999998</v>
      </c>
      <c r="L17" s="1">
        <v>19917.72</v>
      </c>
      <c r="M17" s="1">
        <v>21056.68</v>
      </c>
      <c r="N17" s="1">
        <v>22458.21</v>
      </c>
      <c r="O17" s="1">
        <v>23627.24</v>
      </c>
      <c r="P17" s="1">
        <v>24744.880000000001</v>
      </c>
      <c r="Q17" s="1">
        <v>26429.05</v>
      </c>
      <c r="R17" s="1">
        <v>28070.959999999999</v>
      </c>
      <c r="S17" s="1">
        <v>31145.43</v>
      </c>
      <c r="T17" s="1">
        <v>32846.19</v>
      </c>
      <c r="U17" s="1">
        <v>34933.69</v>
      </c>
      <c r="V17" s="1">
        <v>36809.089999999997</v>
      </c>
      <c r="W17" s="1">
        <v>38041.61</v>
      </c>
      <c r="X17" s="1">
        <v>39160.080000000002</v>
      </c>
      <c r="Y17" s="1">
        <v>39751.94</v>
      </c>
      <c r="Z17" s="1">
        <v>41209.129999999997</v>
      </c>
      <c r="AA17" s="1">
        <v>43268.38</v>
      </c>
      <c r="AB17" s="1">
        <v>45698.37</v>
      </c>
      <c r="AC17" s="1">
        <v>47643.01</v>
      </c>
      <c r="AD17" s="1">
        <v>50259.68</v>
      </c>
    </row>
    <row r="18" spans="1:30">
      <c r="A18" s="1" t="s">
        <v>84</v>
      </c>
      <c r="B18" s="1" t="s">
        <v>7</v>
      </c>
      <c r="C18" s="1" t="s">
        <v>7</v>
      </c>
      <c r="D18" s="1" t="s">
        <v>7</v>
      </c>
      <c r="E18" s="1">
        <v>36401.86</v>
      </c>
      <c r="F18" s="1">
        <v>37589.5</v>
      </c>
      <c r="G18" s="1">
        <v>38093.11</v>
      </c>
      <c r="H18" s="1">
        <v>39660.9</v>
      </c>
      <c r="I18" s="1">
        <v>41879.08</v>
      </c>
      <c r="J18" s="1">
        <v>43834.02</v>
      </c>
      <c r="K18" s="1">
        <v>46198.15</v>
      </c>
      <c r="L18" s="1">
        <v>48747.48</v>
      </c>
      <c r="M18" s="1">
        <v>50168.11</v>
      </c>
      <c r="N18" s="1">
        <v>51486.83</v>
      </c>
      <c r="O18" s="1">
        <v>52038.77</v>
      </c>
      <c r="P18" s="1">
        <v>54841.03</v>
      </c>
      <c r="Q18" s="1">
        <v>56997.47</v>
      </c>
      <c r="R18" s="1">
        <v>59636.49</v>
      </c>
      <c r="S18" s="1">
        <v>61595.15</v>
      </c>
      <c r="T18" s="1">
        <v>63745.49</v>
      </c>
      <c r="U18" s="1">
        <v>65730.539999999994</v>
      </c>
      <c r="V18" s="1">
        <v>66297.14</v>
      </c>
      <c r="W18" s="1">
        <v>66941.02</v>
      </c>
      <c r="X18" s="1">
        <v>67848.649999999994</v>
      </c>
      <c r="Y18" s="1">
        <v>68312.25</v>
      </c>
      <c r="Z18" s="1">
        <v>67969.86</v>
      </c>
      <c r="AA18" s="1">
        <v>69317.66</v>
      </c>
      <c r="AB18" s="1">
        <v>69697.990000000005</v>
      </c>
      <c r="AC18" s="1">
        <v>68339.77</v>
      </c>
      <c r="AD18" s="1">
        <v>72381.45</v>
      </c>
    </row>
    <row r="19" spans="1:30">
      <c r="A19" s="1" t="s">
        <v>84</v>
      </c>
      <c r="B19" s="1" t="s">
        <v>13</v>
      </c>
      <c r="C19" s="1" t="s">
        <v>13</v>
      </c>
      <c r="D19" s="1" t="s">
        <v>13</v>
      </c>
      <c r="E19" s="1">
        <v>3670.3</v>
      </c>
      <c r="F19" s="1">
        <v>3627.36</v>
      </c>
      <c r="G19" s="1">
        <v>3663.05</v>
      </c>
      <c r="H19" s="1">
        <v>3734.53</v>
      </c>
      <c r="I19" s="1">
        <v>3839.09</v>
      </c>
      <c r="J19" s="1">
        <v>3978.62</v>
      </c>
      <c r="K19" s="1">
        <v>4096.7299999999996</v>
      </c>
      <c r="L19" s="1">
        <v>4265.79</v>
      </c>
      <c r="M19" s="1">
        <v>4388.96</v>
      </c>
      <c r="N19" s="1">
        <v>4567.08</v>
      </c>
      <c r="O19" s="1">
        <v>4825.72</v>
      </c>
      <c r="P19" s="1">
        <v>4972.6000000000004</v>
      </c>
      <c r="Q19" s="1">
        <v>5282.61</v>
      </c>
      <c r="R19" s="1">
        <v>5500.92</v>
      </c>
      <c r="S19" s="1">
        <v>5835.44</v>
      </c>
      <c r="T19" s="1">
        <v>5908.36</v>
      </c>
      <c r="U19" s="1">
        <v>6188.01</v>
      </c>
      <c r="V19" s="1">
        <v>6558.6</v>
      </c>
      <c r="W19" s="1">
        <v>6858.55</v>
      </c>
      <c r="X19" s="1">
        <v>7230.24</v>
      </c>
      <c r="Y19" s="1">
        <v>7353.71</v>
      </c>
      <c r="Z19" s="1">
        <v>7409.16</v>
      </c>
      <c r="AA19" s="1">
        <v>7833.24</v>
      </c>
      <c r="AB19" s="1">
        <v>8276.73</v>
      </c>
      <c r="AC19" s="1">
        <v>8557.59</v>
      </c>
      <c r="AD19" s="1">
        <v>9106.61</v>
      </c>
    </row>
    <row r="20" spans="1:30">
      <c r="A20" s="1" t="s">
        <v>84</v>
      </c>
      <c r="B20" s="1" t="s">
        <v>70</v>
      </c>
      <c r="C20" s="1" t="s">
        <v>46</v>
      </c>
      <c r="D20" s="1" t="s">
        <v>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6235.36</v>
      </c>
      <c r="P20" s="1">
        <v>6676.56</v>
      </c>
      <c r="Q20" s="1">
        <v>7130</v>
      </c>
      <c r="R20" s="1">
        <v>7496.93</v>
      </c>
      <c r="S20" s="1">
        <v>8021.34</v>
      </c>
      <c r="T20" s="1">
        <v>8574.02</v>
      </c>
      <c r="U20" s="1">
        <v>9022</v>
      </c>
      <c r="V20" s="1">
        <v>9423</v>
      </c>
      <c r="W20" s="1">
        <v>9941.19</v>
      </c>
      <c r="X20" s="1">
        <v>10475.64</v>
      </c>
      <c r="Y20" s="1">
        <v>10925.64</v>
      </c>
      <c r="Z20" s="1">
        <v>11300.51</v>
      </c>
      <c r="AA20" s="1">
        <v>11723.08</v>
      </c>
      <c r="AB20" s="1">
        <v>12229.92</v>
      </c>
      <c r="AC20" s="1">
        <v>12444.24</v>
      </c>
      <c r="AD20" s="1">
        <v>12767.3</v>
      </c>
    </row>
    <row r="21" spans="1:30">
      <c r="A21" s="1" t="s">
        <v>84</v>
      </c>
      <c r="B21" s="1" t="s">
        <v>76</v>
      </c>
      <c r="C21" s="1" t="s">
        <v>30</v>
      </c>
      <c r="D21" s="1" t="s">
        <v>30</v>
      </c>
      <c r="E21" s="1">
        <v>2514.56</v>
      </c>
      <c r="F21" s="1">
        <v>2562.4899999999998</v>
      </c>
      <c r="G21" s="1">
        <v>2645.37</v>
      </c>
      <c r="H21" s="1">
        <v>2768.44</v>
      </c>
      <c r="I21" s="1">
        <v>2848.76</v>
      </c>
      <c r="J21" s="1">
        <v>2974.86</v>
      </c>
      <c r="K21" s="1">
        <v>3116.28</v>
      </c>
      <c r="L21" s="1">
        <v>4102.26</v>
      </c>
      <c r="M21" s="1">
        <v>3936.69</v>
      </c>
      <c r="N21" s="1">
        <v>3739.01</v>
      </c>
      <c r="O21" s="1">
        <v>3936.69</v>
      </c>
      <c r="P21" s="1">
        <v>4105.5600000000004</v>
      </c>
      <c r="Q21" s="1">
        <v>4371.3599999999997</v>
      </c>
      <c r="R21" s="1">
        <v>4525.96</v>
      </c>
      <c r="S21" s="1">
        <v>4662.5</v>
      </c>
      <c r="T21" s="1">
        <v>4742.55</v>
      </c>
      <c r="U21" s="1">
        <v>4943.91</v>
      </c>
      <c r="V21" s="1">
        <v>5100.3900000000003</v>
      </c>
      <c r="W21" s="1">
        <v>5305.88</v>
      </c>
      <c r="X21" s="1">
        <v>5518.06</v>
      </c>
      <c r="Y21" s="1">
        <v>5594.84</v>
      </c>
      <c r="Z21" s="1">
        <v>5727.23</v>
      </c>
      <c r="AA21" s="1">
        <v>5911.57</v>
      </c>
      <c r="AB21" s="1">
        <v>6162.71</v>
      </c>
      <c r="AC21" s="1">
        <v>6440.92</v>
      </c>
      <c r="AD21" s="1">
        <v>6646.89</v>
      </c>
    </row>
    <row r="22" spans="1:30">
      <c r="A22" s="1" t="s">
        <v>84</v>
      </c>
      <c r="B22" s="1" t="s">
        <v>71</v>
      </c>
      <c r="C22" s="1" t="s">
        <v>38</v>
      </c>
      <c r="D22" s="1" t="s">
        <v>38</v>
      </c>
      <c r="E22" s="1">
        <v>7667.12</v>
      </c>
      <c r="F22" s="1">
        <v>7964.89</v>
      </c>
      <c r="G22" s="1">
        <v>8320.34</v>
      </c>
      <c r="H22" s="1">
        <v>8392.9599999999991</v>
      </c>
      <c r="I22" s="1">
        <v>8947.76</v>
      </c>
      <c r="J22" s="1">
        <v>9497.69</v>
      </c>
      <c r="K22" s="1">
        <v>9740.67</v>
      </c>
      <c r="L22" s="1">
        <v>10479.52</v>
      </c>
      <c r="M22" s="1">
        <v>11089.02</v>
      </c>
      <c r="N22" s="1">
        <v>11318.59</v>
      </c>
      <c r="O22" s="1">
        <v>12281.01</v>
      </c>
      <c r="P22" s="1">
        <v>12154.19</v>
      </c>
      <c r="Q22" s="1">
        <v>12918.08</v>
      </c>
      <c r="R22" s="1">
        <v>13765.3</v>
      </c>
      <c r="S22" s="1">
        <v>14243.12</v>
      </c>
      <c r="T22" s="1">
        <v>14605.52</v>
      </c>
      <c r="U22" s="1">
        <v>15141.89</v>
      </c>
      <c r="V22" s="1">
        <v>15814.32</v>
      </c>
      <c r="W22" s="1">
        <v>16367.26</v>
      </c>
      <c r="X22" s="1">
        <v>17320.48</v>
      </c>
      <c r="Y22" s="1">
        <v>17705.45</v>
      </c>
      <c r="Z22" s="1">
        <v>18040.14</v>
      </c>
      <c r="AA22" s="1">
        <v>19187.16</v>
      </c>
      <c r="AB22" s="1">
        <v>20036.330000000002</v>
      </c>
      <c r="AC22" s="1">
        <v>21113.98</v>
      </c>
      <c r="AD22" s="1">
        <v>22337.200000000001</v>
      </c>
    </row>
    <row r="23" spans="1:30">
      <c r="A23" s="1" t="s">
        <v>84</v>
      </c>
      <c r="B23" s="1" t="s">
        <v>56</v>
      </c>
      <c r="C23" s="1" t="s">
        <v>41</v>
      </c>
      <c r="D23" s="1" t="s">
        <v>41</v>
      </c>
      <c r="E23" s="1">
        <v>57864.17</v>
      </c>
      <c r="F23" s="1">
        <v>60061.78</v>
      </c>
      <c r="G23" s="1">
        <v>61584.13</v>
      </c>
      <c r="H23" s="1">
        <v>63131.37</v>
      </c>
      <c r="I23" s="1">
        <v>65499.040000000001</v>
      </c>
      <c r="J23" s="1">
        <v>67713.98</v>
      </c>
      <c r="K23" s="1">
        <v>69340.929999999993</v>
      </c>
      <c r="L23" s="1">
        <v>72794.06</v>
      </c>
      <c r="M23" s="1">
        <v>77201.710000000006</v>
      </c>
      <c r="N23" s="1">
        <v>80943.58</v>
      </c>
      <c r="O23" s="1">
        <v>85561.14</v>
      </c>
      <c r="P23" s="1">
        <v>90592.55</v>
      </c>
      <c r="Q23" s="1">
        <v>95405.42</v>
      </c>
      <c r="R23" s="1">
        <v>99894.57</v>
      </c>
      <c r="S23" s="1">
        <v>104262.83</v>
      </c>
      <c r="T23" s="1">
        <v>110066</v>
      </c>
      <c r="U23" s="1">
        <v>115179.69</v>
      </c>
      <c r="V23" s="1">
        <v>121300.04</v>
      </c>
      <c r="W23" s="1">
        <v>127202.65</v>
      </c>
      <c r="X23" s="1">
        <v>133726.01999999999</v>
      </c>
      <c r="Y23" s="1">
        <v>136327.03</v>
      </c>
      <c r="Z23" s="1">
        <v>141601.18</v>
      </c>
      <c r="AA23" s="1">
        <v>148721.97</v>
      </c>
      <c r="AB23" s="1">
        <v>153246.71</v>
      </c>
      <c r="AC23" s="1">
        <v>158940.62</v>
      </c>
      <c r="AD23" s="1">
        <v>166702.96</v>
      </c>
    </row>
    <row r="24" spans="1:30">
      <c r="A24" s="1" t="s">
        <v>84</v>
      </c>
      <c r="B24" s="1" t="s">
        <v>14</v>
      </c>
      <c r="C24" s="1" t="s">
        <v>14</v>
      </c>
      <c r="D24" s="1" t="s">
        <v>14</v>
      </c>
      <c r="E24" s="1">
        <v>11391.95</v>
      </c>
      <c r="F24" s="1">
        <v>12512.43</v>
      </c>
      <c r="G24" s="1">
        <v>8854.27</v>
      </c>
      <c r="H24" s="1">
        <v>9280.6200000000008</v>
      </c>
      <c r="I24" s="1">
        <v>9223.4699999999993</v>
      </c>
      <c r="J24" s="1">
        <v>9668.39</v>
      </c>
      <c r="K24" s="1">
        <v>10171.16</v>
      </c>
      <c r="L24" s="1">
        <v>10309.74</v>
      </c>
      <c r="M24" s="1">
        <v>10793.27</v>
      </c>
      <c r="N24" s="1">
        <v>11248.9</v>
      </c>
      <c r="O24" s="1">
        <v>11681.13</v>
      </c>
      <c r="P24" s="1">
        <v>12133.26</v>
      </c>
      <c r="Q24" s="1">
        <v>12883.7</v>
      </c>
      <c r="R24" s="1">
        <v>13661.8</v>
      </c>
      <c r="S24" s="1">
        <v>14432.99</v>
      </c>
      <c r="T24" s="1">
        <v>15192.6</v>
      </c>
      <c r="U24" s="1">
        <v>15461.69</v>
      </c>
      <c r="V24" s="1">
        <v>16070.49</v>
      </c>
      <c r="W24" s="1">
        <v>16602.560000000001</v>
      </c>
      <c r="X24" s="1">
        <v>16608.11</v>
      </c>
      <c r="Y24" s="1">
        <v>16490.61</v>
      </c>
      <c r="Z24" s="1">
        <v>16755.830000000002</v>
      </c>
      <c r="AA24" s="1">
        <v>17135.86</v>
      </c>
      <c r="AB24" s="1">
        <v>7017.85</v>
      </c>
      <c r="AC24" s="1">
        <v>7073.68</v>
      </c>
      <c r="AD24" s="1">
        <v>7401.07</v>
      </c>
    </row>
    <row r="25" spans="1:30">
      <c r="A25" s="1" t="s">
        <v>84</v>
      </c>
      <c r="B25" s="1" t="s">
        <v>81</v>
      </c>
      <c r="C25" s="1" t="s">
        <v>94</v>
      </c>
      <c r="D25" s="1" t="s">
        <v>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v>2276.9699999999998</v>
      </c>
      <c r="AB25" s="1">
        <v>2333.87</v>
      </c>
      <c r="AC25" s="1">
        <v>2409.5500000000002</v>
      </c>
      <c r="AD25" s="1">
        <v>2483.29</v>
      </c>
    </row>
    <row r="26" spans="1:30">
      <c r="A26" s="1" t="s">
        <v>84</v>
      </c>
      <c r="B26" s="1" t="s">
        <v>4</v>
      </c>
      <c r="C26" s="1" t="s">
        <v>4</v>
      </c>
      <c r="D26" s="1" t="s">
        <v>4</v>
      </c>
      <c r="E26" s="1">
        <v>59133.63</v>
      </c>
      <c r="F26" s="1">
        <v>62824.44</v>
      </c>
      <c r="G26" s="1">
        <v>66608.53</v>
      </c>
      <c r="H26" s="1">
        <v>63611.7</v>
      </c>
      <c r="I26" s="1">
        <v>68065.58</v>
      </c>
      <c r="J26" s="1">
        <v>72673.070000000007</v>
      </c>
      <c r="K26" s="1">
        <v>77010.89</v>
      </c>
      <c r="L26" s="1">
        <v>80739.72</v>
      </c>
      <c r="M26" s="1">
        <v>84607.9</v>
      </c>
      <c r="N26" s="1">
        <v>87757.75</v>
      </c>
      <c r="O26" s="1">
        <v>91152.77</v>
      </c>
      <c r="P26" s="1">
        <v>94307.4</v>
      </c>
      <c r="Q26" s="1">
        <v>97910.95</v>
      </c>
      <c r="R26" s="1">
        <v>102216.74</v>
      </c>
      <c r="S26" s="1">
        <v>108498.09</v>
      </c>
      <c r="T26" s="1">
        <v>108969.04</v>
      </c>
      <c r="U26" s="1">
        <v>113287.59</v>
      </c>
      <c r="V26" s="1">
        <v>119281.64</v>
      </c>
      <c r="W26" s="1">
        <v>124547.86</v>
      </c>
      <c r="X26" s="1">
        <v>129690.41</v>
      </c>
      <c r="Y26" s="1">
        <v>135124.21</v>
      </c>
      <c r="Z26" s="1">
        <v>140717.74</v>
      </c>
      <c r="AA26" s="1">
        <v>144691.04</v>
      </c>
      <c r="AB26" s="1">
        <v>149361.10999999999</v>
      </c>
      <c r="AC26" s="1">
        <v>152698.4</v>
      </c>
      <c r="AD26" s="1">
        <v>160178.56</v>
      </c>
    </row>
    <row r="27" spans="1:30">
      <c r="A27" s="1" t="s">
        <v>84</v>
      </c>
      <c r="B27" s="1" t="s">
        <v>60</v>
      </c>
      <c r="C27" s="1" t="s">
        <v>29</v>
      </c>
      <c r="D27" s="1" t="s">
        <v>29</v>
      </c>
      <c r="E27" s="1"/>
      <c r="F27" s="1"/>
      <c r="G27" s="1"/>
      <c r="H27" s="1">
        <v>3288.86</v>
      </c>
      <c r="I27" s="1">
        <v>3476.17</v>
      </c>
      <c r="J27" s="1">
        <v>3663.79</v>
      </c>
      <c r="K27" s="1">
        <v>3862.14</v>
      </c>
      <c r="L27" s="1">
        <v>4105.26</v>
      </c>
      <c r="M27" s="1">
        <v>4261.1099999999997</v>
      </c>
      <c r="N27" s="1">
        <v>4324.91</v>
      </c>
      <c r="O27" s="1">
        <v>4506.5600000000004</v>
      </c>
      <c r="P27" s="1">
        <v>4683.47</v>
      </c>
      <c r="Q27" s="1">
        <v>4794.17</v>
      </c>
      <c r="R27" s="1">
        <v>5000.01</v>
      </c>
      <c r="S27" s="1">
        <v>5378.15</v>
      </c>
      <c r="T27" s="1">
        <v>5689.22</v>
      </c>
      <c r="U27" s="1">
        <v>6018.41</v>
      </c>
      <c r="V27" s="1">
        <v>5945.61</v>
      </c>
      <c r="W27" s="1">
        <v>5757.78</v>
      </c>
      <c r="X27" s="1">
        <v>5717.73</v>
      </c>
      <c r="Y27" s="1">
        <v>5466.78</v>
      </c>
      <c r="Z27" s="1">
        <v>5322.05</v>
      </c>
      <c r="AA27" s="1">
        <v>5601.86</v>
      </c>
      <c r="AB27" s="1">
        <v>5687.64</v>
      </c>
      <c r="AC27" s="1">
        <v>5720.17</v>
      </c>
      <c r="AD27" s="1">
        <v>5919.88</v>
      </c>
    </row>
    <row r="28" spans="1:30">
      <c r="A28" s="1" t="s">
        <v>84</v>
      </c>
      <c r="B28" s="1" t="s">
        <v>74</v>
      </c>
      <c r="C28" s="1" t="s">
        <v>37</v>
      </c>
      <c r="D28" s="1" t="s">
        <v>37</v>
      </c>
      <c r="E28" s="1">
        <v>8231.6200000000008</v>
      </c>
      <c r="F28" s="1">
        <v>8673.44</v>
      </c>
      <c r="G28" s="1">
        <v>9302.7199999999993</v>
      </c>
      <c r="H28" s="1">
        <v>9875.0400000000009</v>
      </c>
      <c r="I28" s="1">
        <v>10649.04</v>
      </c>
      <c r="J28" s="1">
        <v>11385.14</v>
      </c>
      <c r="K28" s="1">
        <v>11905.93</v>
      </c>
      <c r="L28" s="1">
        <v>12572.51</v>
      </c>
      <c r="M28" s="1">
        <v>13205.9</v>
      </c>
      <c r="N28" s="1">
        <v>13566.97</v>
      </c>
      <c r="O28" s="1">
        <v>13741.14</v>
      </c>
      <c r="P28" s="1">
        <v>14007.46</v>
      </c>
      <c r="Q28" s="1">
        <v>14625.41</v>
      </c>
      <c r="R28" s="1">
        <v>15508.22</v>
      </c>
      <c r="S28" s="1">
        <v>16952.310000000001</v>
      </c>
      <c r="T28" s="1">
        <v>16970.46</v>
      </c>
      <c r="U28" s="1">
        <v>18270.18</v>
      </c>
      <c r="V28" s="1">
        <v>19323.259999999998</v>
      </c>
      <c r="W28" s="1">
        <v>20554.63</v>
      </c>
      <c r="X28" s="1">
        <v>21581.03</v>
      </c>
      <c r="Y28" s="1">
        <v>21728.37</v>
      </c>
      <c r="Z28" s="1">
        <v>22247.11</v>
      </c>
      <c r="AA28" s="1">
        <v>23754.98</v>
      </c>
      <c r="AB28" s="1">
        <v>24779.74</v>
      </c>
      <c r="AC28" s="1">
        <v>25734.91</v>
      </c>
      <c r="AD28" s="1">
        <v>26698.67</v>
      </c>
    </row>
    <row r="29" spans="1:30">
      <c r="A29" s="1" t="s">
        <v>84</v>
      </c>
      <c r="B29" s="1" t="s">
        <v>68</v>
      </c>
      <c r="C29" s="1" t="s">
        <v>25</v>
      </c>
      <c r="D29" s="1" t="s">
        <v>25</v>
      </c>
      <c r="E29" s="1">
        <v>8386.9</v>
      </c>
      <c r="F29" s="1">
        <v>9058.77</v>
      </c>
      <c r="G29" s="1">
        <v>9309.4500000000007</v>
      </c>
      <c r="H29" s="1">
        <v>9585.57</v>
      </c>
      <c r="I29" s="1">
        <v>10161.950000000001</v>
      </c>
      <c r="J29" s="1">
        <v>10680.79</v>
      </c>
      <c r="K29" s="1">
        <v>11182.38</v>
      </c>
      <c r="L29" s="1">
        <v>11822.1</v>
      </c>
      <c r="M29" s="1">
        <v>12618.34</v>
      </c>
      <c r="N29" s="1">
        <v>13419.22</v>
      </c>
      <c r="O29" s="1">
        <v>13701.55</v>
      </c>
      <c r="P29" s="1">
        <v>14052.46</v>
      </c>
      <c r="Q29" s="1">
        <v>14490.15</v>
      </c>
      <c r="R29" s="1">
        <v>14967.33</v>
      </c>
      <c r="S29" s="1">
        <v>15636.19</v>
      </c>
      <c r="T29" s="1">
        <v>16013.3</v>
      </c>
      <c r="U29" s="1">
        <v>16600.740000000002</v>
      </c>
      <c r="V29" s="1">
        <v>17280.419999999998</v>
      </c>
      <c r="W29" s="1">
        <v>17925.11</v>
      </c>
      <c r="X29" s="1">
        <v>18568.23</v>
      </c>
      <c r="Y29" s="1">
        <v>18399.41</v>
      </c>
      <c r="Z29" s="1">
        <v>18614.34</v>
      </c>
      <c r="AA29" s="1">
        <v>18911.080000000002</v>
      </c>
      <c r="AB29" s="1">
        <v>19537.28</v>
      </c>
      <c r="AC29" s="1">
        <v>20350.73</v>
      </c>
      <c r="AD29" s="1">
        <v>21717.59</v>
      </c>
    </row>
    <row r="30" spans="1:30">
      <c r="A30" s="1" t="s">
        <v>84</v>
      </c>
      <c r="B30" s="1" t="s">
        <v>79</v>
      </c>
      <c r="C30" s="1" t="s">
        <v>92</v>
      </c>
      <c r="D30" s="1" t="s">
        <v>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v>4201.92</v>
      </c>
      <c r="AB30" s="1">
        <v>4345.1000000000004</v>
      </c>
      <c r="AC30" s="1">
        <v>4444.51</v>
      </c>
      <c r="AD30" s="1">
        <v>4652.05</v>
      </c>
    </row>
    <row r="31" spans="1:30">
      <c r="A31" s="1" t="s">
        <v>84</v>
      </c>
      <c r="B31" s="1" t="s">
        <v>73</v>
      </c>
      <c r="C31" s="1" t="s">
        <v>35</v>
      </c>
      <c r="D31" s="1" t="s">
        <v>35</v>
      </c>
      <c r="E31" s="1">
        <v>33353.51</v>
      </c>
      <c r="F31" s="1">
        <v>33671.01</v>
      </c>
      <c r="G31" s="1">
        <v>35218.730000000003</v>
      </c>
      <c r="H31" s="1">
        <v>35478.6</v>
      </c>
      <c r="I31" s="1">
        <v>35240.910000000003</v>
      </c>
      <c r="J31" s="1">
        <v>32427.95</v>
      </c>
      <c r="K31" s="1">
        <v>33757.980000000003</v>
      </c>
      <c r="L31" s="1">
        <v>34842.74</v>
      </c>
      <c r="M31" s="1">
        <v>36963.89</v>
      </c>
      <c r="N31" s="1">
        <v>38695.1</v>
      </c>
      <c r="O31" s="1">
        <v>39598.910000000003</v>
      </c>
      <c r="P31" s="1">
        <v>42325.57</v>
      </c>
      <c r="Q31" s="1">
        <v>44263.48</v>
      </c>
      <c r="R31" s="1">
        <v>46446.73</v>
      </c>
      <c r="S31" s="1">
        <v>51101.68</v>
      </c>
      <c r="T31" s="1">
        <v>54099.1</v>
      </c>
      <c r="U31" s="1">
        <v>58351.27</v>
      </c>
      <c r="V31" s="1">
        <v>61597.2</v>
      </c>
      <c r="W31" s="1">
        <v>64815.46</v>
      </c>
      <c r="X31" s="1">
        <v>66615.94</v>
      </c>
      <c r="Y31" s="1">
        <v>66139.899999999994</v>
      </c>
      <c r="Z31" s="1">
        <v>70357.8</v>
      </c>
      <c r="AA31" s="1">
        <v>72162.73</v>
      </c>
      <c r="AB31" s="1">
        <v>72226.31</v>
      </c>
      <c r="AC31" s="1">
        <v>75166.740000000005</v>
      </c>
      <c r="AD31" s="1">
        <v>80474.87</v>
      </c>
    </row>
    <row r="32" spans="1:30">
      <c r="A32" s="1" t="s">
        <v>84</v>
      </c>
      <c r="B32" s="1" t="s">
        <v>58</v>
      </c>
      <c r="C32" s="1" t="s">
        <v>40</v>
      </c>
      <c r="D32" s="1" t="s">
        <v>40</v>
      </c>
      <c r="E32" s="1">
        <v>23259.1</v>
      </c>
      <c r="F32" s="1">
        <v>24246.67</v>
      </c>
      <c r="G32" s="1">
        <v>25345.81</v>
      </c>
      <c r="H32" s="1">
        <v>26609.16</v>
      </c>
      <c r="I32" s="1">
        <v>28243.27</v>
      </c>
      <c r="J32" s="1">
        <v>29902.61</v>
      </c>
      <c r="K32" s="1">
        <v>31828.85</v>
      </c>
      <c r="L32" s="1">
        <v>33891.449999999997</v>
      </c>
      <c r="M32" s="1">
        <v>35276.199999999997</v>
      </c>
      <c r="N32" s="1">
        <v>36371.82</v>
      </c>
      <c r="O32" s="1">
        <v>38067.01</v>
      </c>
      <c r="P32" s="1">
        <v>40120.769999999997</v>
      </c>
      <c r="Q32" s="1">
        <v>42557.3</v>
      </c>
      <c r="R32" s="1">
        <v>44794.97</v>
      </c>
      <c r="S32" s="1">
        <v>46612.03</v>
      </c>
      <c r="T32" s="1">
        <v>48287.68</v>
      </c>
      <c r="U32" s="1">
        <v>48942.64</v>
      </c>
      <c r="V32" s="1">
        <v>49518.879999999997</v>
      </c>
      <c r="W32" s="1">
        <v>50674.28</v>
      </c>
      <c r="X32" s="1">
        <v>52366.83</v>
      </c>
      <c r="Y32" s="1">
        <v>53281.53</v>
      </c>
      <c r="Z32" s="1">
        <v>54834.53</v>
      </c>
      <c r="AA32" s="1">
        <v>56926.73</v>
      </c>
      <c r="AB32" s="1">
        <v>58154.46</v>
      </c>
      <c r="AC32" s="1">
        <v>59555.29</v>
      </c>
      <c r="AD32" s="1">
        <v>63001.27</v>
      </c>
    </row>
    <row r="33" spans="1:30">
      <c r="A33" s="1" t="s">
        <v>84</v>
      </c>
      <c r="B33" s="1" t="s">
        <v>78</v>
      </c>
      <c r="C33" s="1" t="s">
        <v>91</v>
      </c>
      <c r="D33" s="1" t="s">
        <v>33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>
        <v>2834.43</v>
      </c>
      <c r="AC33" s="1">
        <v>2849.11</v>
      </c>
      <c r="AD33" s="1">
        <v>3000.25</v>
      </c>
    </row>
    <row r="34" spans="1:30">
      <c r="A34" s="1" t="s">
        <v>84</v>
      </c>
      <c r="B34" s="1" t="s">
        <v>61</v>
      </c>
      <c r="C34" s="1" t="s">
        <v>21</v>
      </c>
      <c r="D34" s="1" t="s">
        <v>21</v>
      </c>
      <c r="E34" s="1">
        <v>60856.34</v>
      </c>
      <c r="F34" s="1">
        <v>67181.710000000006</v>
      </c>
      <c r="G34" s="1">
        <v>66846.149999999994</v>
      </c>
      <c r="H34" s="1">
        <v>68505.570000000007</v>
      </c>
      <c r="I34" s="1">
        <v>72851.48</v>
      </c>
      <c r="J34" s="1">
        <v>73875.399999999994</v>
      </c>
      <c r="K34" s="1">
        <v>73621.7</v>
      </c>
      <c r="L34" s="1">
        <v>75451.5</v>
      </c>
      <c r="M34" s="1">
        <v>78522.399999999994</v>
      </c>
      <c r="N34" s="1">
        <v>88209.99</v>
      </c>
      <c r="O34" s="1">
        <v>89088.26</v>
      </c>
      <c r="P34" s="1">
        <v>88386.51</v>
      </c>
      <c r="Q34" s="1">
        <v>88409.46</v>
      </c>
      <c r="R34" s="1">
        <v>92390.13</v>
      </c>
      <c r="S34" s="1">
        <v>92653.58</v>
      </c>
      <c r="T34" s="1">
        <v>92802.8</v>
      </c>
      <c r="U34" s="1">
        <v>98096.58</v>
      </c>
      <c r="V34" s="1">
        <v>99669.37</v>
      </c>
      <c r="W34" s="1">
        <v>101752.2</v>
      </c>
      <c r="X34" s="1">
        <v>104596.75</v>
      </c>
      <c r="Y34" s="1">
        <v>107000.79</v>
      </c>
      <c r="Z34" s="1">
        <v>108406.55</v>
      </c>
      <c r="AA34" s="1">
        <v>113186.39</v>
      </c>
      <c r="AB34" s="1">
        <v>113308.41</v>
      </c>
      <c r="AC34" s="1">
        <v>115104.77</v>
      </c>
      <c r="AD34" s="1">
        <v>126696.51</v>
      </c>
    </row>
    <row r="35" spans="1:30">
      <c r="A35" s="1" t="s">
        <v>84</v>
      </c>
      <c r="B35" s="1" t="s">
        <v>64</v>
      </c>
      <c r="C35" s="1" t="s">
        <v>24</v>
      </c>
      <c r="D35" s="1" t="s">
        <v>24</v>
      </c>
      <c r="E35" s="1">
        <v>14734.24</v>
      </c>
      <c r="F35" s="1">
        <v>14333.19</v>
      </c>
      <c r="G35" s="1">
        <v>15365.42</v>
      </c>
      <c r="H35" s="1">
        <v>15834.1</v>
      </c>
      <c r="I35" s="1">
        <v>16210.1</v>
      </c>
      <c r="J35" s="1">
        <v>16964.12</v>
      </c>
      <c r="K35" s="1">
        <v>17869.57</v>
      </c>
      <c r="L35" s="1">
        <v>18740.84</v>
      </c>
      <c r="M35" s="1">
        <v>19820.43</v>
      </c>
      <c r="N35" s="1">
        <v>20610.8</v>
      </c>
      <c r="O35" s="1">
        <v>21485.41</v>
      </c>
      <c r="P35" s="1">
        <v>22292.71</v>
      </c>
      <c r="Q35" s="1">
        <v>23201.41</v>
      </c>
      <c r="R35" s="1">
        <v>24401.599999999999</v>
      </c>
      <c r="S35" s="1">
        <v>24967.38</v>
      </c>
      <c r="T35" s="1">
        <v>25571.67</v>
      </c>
      <c r="U35" s="1">
        <v>26618.92</v>
      </c>
      <c r="V35" s="1">
        <v>28357.68</v>
      </c>
      <c r="W35" s="1">
        <v>30209.4</v>
      </c>
      <c r="X35" s="1">
        <v>31956.43</v>
      </c>
      <c r="Y35" s="1">
        <v>32371.35</v>
      </c>
      <c r="Z35" s="1">
        <v>33811.57</v>
      </c>
      <c r="AA35" s="1">
        <v>34547.57</v>
      </c>
      <c r="AB35" s="1">
        <v>35108.57</v>
      </c>
      <c r="AC35" s="1">
        <v>36150.730000000003</v>
      </c>
      <c r="AD35" s="1">
        <v>36926.67</v>
      </c>
    </row>
    <row r="36" spans="1:30">
      <c r="A36" s="1" t="s">
        <v>84</v>
      </c>
      <c r="B36" s="1" t="s">
        <v>65</v>
      </c>
      <c r="C36" s="1" t="s">
        <v>31</v>
      </c>
      <c r="D36" s="1" t="s">
        <v>31</v>
      </c>
      <c r="E36" s="1">
        <v>11680.7</v>
      </c>
      <c r="F36" s="1">
        <v>11610.91</v>
      </c>
      <c r="G36" s="1">
        <v>11756.51</v>
      </c>
      <c r="H36" s="1">
        <v>12301.62</v>
      </c>
      <c r="I36" s="1">
        <v>12624.99</v>
      </c>
      <c r="J36" s="1">
        <v>12746.37</v>
      </c>
      <c r="K36" s="1">
        <v>13113.49</v>
      </c>
      <c r="L36" s="1">
        <v>13493.58</v>
      </c>
      <c r="M36" s="1">
        <v>14239.44</v>
      </c>
      <c r="N36" s="1">
        <v>14743.1</v>
      </c>
      <c r="O36" s="1">
        <v>14939.02</v>
      </c>
      <c r="P36" s="1">
        <v>15691.91</v>
      </c>
      <c r="Q36" s="1">
        <v>16407.439999999999</v>
      </c>
      <c r="R36" s="1">
        <v>16946.740000000002</v>
      </c>
      <c r="S36" s="1">
        <v>17702.37</v>
      </c>
      <c r="T36" s="1">
        <v>18964.88</v>
      </c>
      <c r="U36" s="1">
        <v>19564.75</v>
      </c>
      <c r="V36" s="1">
        <v>20843.23</v>
      </c>
      <c r="W36" s="1">
        <v>21262.43</v>
      </c>
      <c r="X36" s="1">
        <v>21555.360000000001</v>
      </c>
      <c r="Y36" s="1">
        <v>21466.1</v>
      </c>
      <c r="Z36" s="1">
        <v>21712.18</v>
      </c>
      <c r="AA36" s="1">
        <v>22187.32</v>
      </c>
      <c r="AB36" s="1">
        <v>22642.74</v>
      </c>
      <c r="AC36" s="1">
        <v>22992.48</v>
      </c>
      <c r="AD36" s="1">
        <v>24150</v>
      </c>
    </row>
    <row r="37" spans="1:30">
      <c r="A37" s="1" t="s">
        <v>84</v>
      </c>
      <c r="B37" s="1" t="s">
        <v>77</v>
      </c>
      <c r="C37" s="1" t="s">
        <v>33</v>
      </c>
      <c r="D37" s="1" t="s">
        <v>33</v>
      </c>
      <c r="E37" s="1"/>
      <c r="F37" s="1"/>
      <c r="G37" s="1">
        <v>3429.79</v>
      </c>
      <c r="H37" s="1">
        <v>3603.52</v>
      </c>
      <c r="I37" s="1">
        <v>3744.32</v>
      </c>
      <c r="J37" s="1">
        <v>3821.22</v>
      </c>
      <c r="K37" s="1">
        <v>3946.88</v>
      </c>
      <c r="L37" s="1">
        <v>4152.88</v>
      </c>
      <c r="M37" s="1">
        <v>4439.1400000000003</v>
      </c>
      <c r="N37" s="1">
        <v>4609.1400000000003</v>
      </c>
      <c r="O37" s="1">
        <v>4889.5600000000004</v>
      </c>
      <c r="P37" s="1">
        <v>4583.1899999999996</v>
      </c>
      <c r="Q37" s="1">
        <v>4785.62</v>
      </c>
      <c r="R37" s="1">
        <v>5090.42</v>
      </c>
      <c r="S37" s="1">
        <v>5343.52</v>
      </c>
      <c r="T37" s="1">
        <v>5482.57</v>
      </c>
      <c r="U37" s="1">
        <v>5598.84</v>
      </c>
      <c r="V37" s="1">
        <v>5926.64</v>
      </c>
      <c r="W37" s="1">
        <v>6058.67</v>
      </c>
      <c r="X37" s="1">
        <v>6273.1</v>
      </c>
      <c r="Y37" s="1">
        <v>6122.47</v>
      </c>
      <c r="Z37" s="1">
        <v>6182.41</v>
      </c>
      <c r="AA37" s="1">
        <v>6199.07</v>
      </c>
      <c r="AB37" s="1">
        <v>3304.15</v>
      </c>
      <c r="AC37" s="1">
        <v>3310.73</v>
      </c>
      <c r="AD37" s="1">
        <v>3350.82</v>
      </c>
    </row>
    <row r="38" spans="1:30">
      <c r="A38" s="1" t="s">
        <v>84</v>
      </c>
      <c r="B38" s="1" t="s">
        <v>75</v>
      </c>
      <c r="C38" s="1" t="s">
        <v>34</v>
      </c>
      <c r="D38" s="1" t="s">
        <v>34</v>
      </c>
      <c r="E38" s="1"/>
      <c r="F38" s="1"/>
      <c r="G38" s="1"/>
      <c r="H38" s="1"/>
      <c r="I38" s="1"/>
      <c r="J38" s="1">
        <v>5684.53</v>
      </c>
      <c r="K38" s="1">
        <v>5934.41</v>
      </c>
      <c r="L38" s="1">
        <v>6146.94</v>
      </c>
      <c r="M38" s="1">
        <v>6338.3</v>
      </c>
      <c r="N38" s="1">
        <v>6535.66</v>
      </c>
      <c r="O38" s="1">
        <v>7486.61</v>
      </c>
      <c r="P38" s="1">
        <v>8115.11</v>
      </c>
      <c r="Q38" s="1">
        <v>8709.5</v>
      </c>
      <c r="R38" s="1">
        <v>9207.15</v>
      </c>
      <c r="S38" s="1">
        <v>9753.26</v>
      </c>
      <c r="T38" s="1">
        <v>10313.540000000001</v>
      </c>
      <c r="U38" s="1">
        <v>10734.08</v>
      </c>
      <c r="V38" s="1">
        <v>11433.15</v>
      </c>
      <c r="W38" s="1">
        <v>12131.88</v>
      </c>
      <c r="X38" s="1">
        <v>12692.97</v>
      </c>
      <c r="Y38" s="1">
        <v>12761.98</v>
      </c>
      <c r="Z38" s="1">
        <v>12910.29</v>
      </c>
      <c r="AA38" s="1">
        <v>13342.96</v>
      </c>
      <c r="AB38" s="1">
        <v>13878.49</v>
      </c>
      <c r="AC38" s="1">
        <v>14541.57</v>
      </c>
      <c r="AD38" s="1">
        <v>15421.69</v>
      </c>
    </row>
    <row r="39" spans="1:30">
      <c r="A39" s="1" t="s">
        <v>84</v>
      </c>
      <c r="B39" s="1" t="s">
        <v>57</v>
      </c>
      <c r="C39" s="1" t="s">
        <v>39</v>
      </c>
      <c r="D39" s="1" t="s">
        <v>39</v>
      </c>
      <c r="E39" s="1">
        <v>16086.3</v>
      </c>
      <c r="F39" s="1">
        <v>16870.099999999999</v>
      </c>
      <c r="G39" s="1">
        <v>18196.02</v>
      </c>
      <c r="H39" s="1">
        <v>19586.71</v>
      </c>
      <c r="I39" s="1">
        <v>20720.73</v>
      </c>
      <c r="J39" s="1">
        <v>21784.17</v>
      </c>
      <c r="K39" s="1">
        <v>22874.959999999999</v>
      </c>
      <c r="L39" s="1">
        <v>24011.55</v>
      </c>
      <c r="M39" s="1">
        <v>25325.98</v>
      </c>
      <c r="N39" s="1">
        <v>26205.69</v>
      </c>
      <c r="O39" s="1">
        <v>27277.72</v>
      </c>
      <c r="P39" s="1">
        <v>28535.02</v>
      </c>
      <c r="Q39" s="1">
        <v>29284.9</v>
      </c>
      <c r="R39" s="1">
        <v>30372.99</v>
      </c>
      <c r="S39" s="1">
        <v>32151.49</v>
      </c>
      <c r="T39" s="1">
        <v>33546.76</v>
      </c>
      <c r="U39" s="1">
        <v>34222.559999999998</v>
      </c>
      <c r="V39" s="1">
        <v>35394.69</v>
      </c>
      <c r="W39" s="1">
        <v>36639.599999999999</v>
      </c>
      <c r="X39" s="1">
        <v>37549.46</v>
      </c>
      <c r="Y39" s="1">
        <v>37993.39</v>
      </c>
      <c r="Z39" s="1">
        <v>38820.71</v>
      </c>
      <c r="AA39" s="1">
        <v>40188.629999999997</v>
      </c>
      <c r="AB39" s="1">
        <v>41612.83</v>
      </c>
      <c r="AC39" s="1">
        <v>42467.73</v>
      </c>
      <c r="AD39" s="1">
        <v>44227.28</v>
      </c>
    </row>
    <row r="40" spans="1:30">
      <c r="A40" s="1" t="s">
        <v>87</v>
      </c>
      <c r="B40" s="1" t="s">
        <v>3</v>
      </c>
      <c r="C40" s="1" t="s">
        <v>3</v>
      </c>
      <c r="D40" s="1" t="s">
        <v>3</v>
      </c>
      <c r="E40" s="1">
        <v>126799.826830491</v>
      </c>
      <c r="F40" s="1">
        <v>120175.903975696</v>
      </c>
      <c r="G40" s="1">
        <v>136014.134696386</v>
      </c>
      <c r="H40" s="1">
        <v>139803.404049809</v>
      </c>
      <c r="I40" s="1">
        <v>113537.389050057</v>
      </c>
      <c r="J40" s="1">
        <v>79008.044526627695</v>
      </c>
      <c r="K40" s="1">
        <v>68539.979341567407</v>
      </c>
      <c r="L40" s="1">
        <v>70084.721041287703</v>
      </c>
      <c r="M40" s="1">
        <v>66412.570602564199</v>
      </c>
      <c r="N40" s="1">
        <v>52053.677382318303</v>
      </c>
      <c r="O40" s="1">
        <v>48794.255389999998</v>
      </c>
      <c r="P40" s="1">
        <v>48189.04075</v>
      </c>
      <c r="Q40" s="1">
        <v>49148.162300000004</v>
      </c>
      <c r="R40" s="1">
        <v>48786.604460000002</v>
      </c>
      <c r="S40" s="1">
        <v>47198.272219999999</v>
      </c>
      <c r="T40" s="1">
        <v>45570.601840000003</v>
      </c>
      <c r="U40" s="1">
        <v>46196.34304</v>
      </c>
      <c r="V40" s="1">
        <v>50893.46716</v>
      </c>
      <c r="W40" s="1">
        <v>52747.141069999998</v>
      </c>
      <c r="X40" s="1">
        <v>52517.085650000001</v>
      </c>
      <c r="Y40" s="1">
        <v>52072.394079999998</v>
      </c>
      <c r="Z40" s="1">
        <v>54937.197699999997</v>
      </c>
      <c r="AA40" s="1">
        <v>68395.63</v>
      </c>
      <c r="AB40" s="1">
        <v>76810.850000000006</v>
      </c>
      <c r="AC40" s="1">
        <v>81753.39</v>
      </c>
      <c r="AD40" s="1">
        <v>88632.84</v>
      </c>
    </row>
    <row r="41" spans="1:30">
      <c r="A41" s="1" t="s">
        <v>87</v>
      </c>
      <c r="B41" s="1" t="s">
        <v>11</v>
      </c>
      <c r="C41" s="1" t="s">
        <v>11</v>
      </c>
      <c r="D41" s="1" t="s">
        <v>11</v>
      </c>
      <c r="E41" s="1">
        <v>11814.152961538501</v>
      </c>
      <c r="F41" s="1">
        <v>12448.630859036601</v>
      </c>
      <c r="G41" s="1">
        <v>12936.624401568</v>
      </c>
      <c r="H41" s="1">
        <v>13710.564658417999</v>
      </c>
      <c r="I41" s="1">
        <v>15318.1094878411</v>
      </c>
      <c r="J41" s="1">
        <v>15772.045197924699</v>
      </c>
      <c r="K41" s="1">
        <v>17707.320264847502</v>
      </c>
      <c r="L41" s="1">
        <v>20082.916902156801</v>
      </c>
      <c r="M41" s="1">
        <v>23492.396608045899</v>
      </c>
      <c r="N41" s="1">
        <v>26183.8580194735</v>
      </c>
      <c r="O41" s="1">
        <v>30918.015889999999</v>
      </c>
      <c r="P41" s="1">
        <v>31862.94947</v>
      </c>
      <c r="Q41" s="1">
        <v>33174.014190000002</v>
      </c>
      <c r="R41" s="1">
        <v>37069.629520000002</v>
      </c>
      <c r="S41" s="1">
        <v>43139.801200000002</v>
      </c>
      <c r="T41" s="1">
        <v>45736.990299999998</v>
      </c>
      <c r="U41" s="1">
        <v>52314.230150000003</v>
      </c>
      <c r="V41" s="1">
        <v>56024.959260000003</v>
      </c>
      <c r="W41" s="1">
        <v>59447.660980000001</v>
      </c>
      <c r="X41" s="1">
        <v>59187.151590000001</v>
      </c>
      <c r="Y41" s="1">
        <v>14121.596820000001</v>
      </c>
      <c r="Z41" s="1">
        <v>4340.0661099999998</v>
      </c>
      <c r="AA41" s="1">
        <v>28410.212070000001</v>
      </c>
      <c r="AB41" s="1">
        <v>57666.17</v>
      </c>
      <c r="AC41" s="1">
        <v>66949.350000000006</v>
      </c>
      <c r="AD41" s="1">
        <v>72452.11</v>
      </c>
    </row>
    <row r="42" spans="1:30">
      <c r="A42" s="1" t="s">
        <v>87</v>
      </c>
      <c r="B42" s="1" t="s">
        <v>59</v>
      </c>
      <c r="C42" s="1" t="s">
        <v>28</v>
      </c>
      <c r="D42" s="1" t="s">
        <v>28</v>
      </c>
      <c r="E42" s="1">
        <v>10255.2073707365</v>
      </c>
      <c r="F42" s="1">
        <v>12369.517264944599</v>
      </c>
      <c r="G42" s="1">
        <v>10231.109310825401</v>
      </c>
      <c r="H42" s="1">
        <v>10262.634125988199</v>
      </c>
      <c r="I42" s="1">
        <v>20617.082634631799</v>
      </c>
      <c r="J42" s="1">
        <v>21642.066926998199</v>
      </c>
      <c r="K42" s="1">
        <v>21470.0935967064</v>
      </c>
      <c r="L42" s="1">
        <v>21682.442663310499</v>
      </c>
      <c r="M42" s="1">
        <v>21635.240427349701</v>
      </c>
      <c r="N42" s="1">
        <v>21410.865989137899</v>
      </c>
      <c r="O42" s="1">
        <v>21755.361690000002</v>
      </c>
      <c r="P42" s="1">
        <v>30265.464370000002</v>
      </c>
      <c r="Q42" s="1">
        <v>27941.95103</v>
      </c>
      <c r="R42" s="1">
        <v>30238.287189999999</v>
      </c>
      <c r="S42" s="1">
        <v>35019.115570000002</v>
      </c>
      <c r="T42" s="1">
        <v>28501.761839999999</v>
      </c>
      <c r="U42" s="1">
        <v>25174.564920000001</v>
      </c>
      <c r="V42" s="1">
        <v>30894.843440000001</v>
      </c>
      <c r="W42" s="1">
        <v>30845.017370000001</v>
      </c>
      <c r="X42" s="1">
        <v>25775.369030000002</v>
      </c>
      <c r="Y42" s="1">
        <v>23895.469099999998</v>
      </c>
      <c r="Z42" s="1">
        <v>34704.362679999998</v>
      </c>
      <c r="AA42" s="1">
        <v>34244.873010000003</v>
      </c>
      <c r="AB42" s="1">
        <v>28171.039209999999</v>
      </c>
      <c r="AC42" s="1">
        <v>23604.978770000002</v>
      </c>
      <c r="AD42" s="1"/>
    </row>
    <row r="43" spans="1:30">
      <c r="A43" s="1" t="s">
        <v>87</v>
      </c>
      <c r="B43" s="1" t="s">
        <v>10</v>
      </c>
      <c r="C43" s="1" t="s">
        <v>10</v>
      </c>
      <c r="D43" s="1" t="s">
        <v>10</v>
      </c>
      <c r="E43" s="1">
        <v>72858.227288984999</v>
      </c>
      <c r="F43" s="1">
        <v>71490.491236499598</v>
      </c>
      <c r="G43" s="1">
        <v>74361.576358068196</v>
      </c>
      <c r="H43" s="1">
        <v>79587.486786663096</v>
      </c>
      <c r="I43" s="1">
        <v>87397.471401103903</v>
      </c>
      <c r="J43" s="1">
        <v>94241.662084824493</v>
      </c>
      <c r="K43" s="1">
        <v>104918.243936535</v>
      </c>
      <c r="L43" s="1">
        <v>208859.152549063</v>
      </c>
      <c r="M43" s="1">
        <v>219942.32439824301</v>
      </c>
      <c r="N43" s="1">
        <v>201828.886580547</v>
      </c>
      <c r="O43" s="1">
        <v>225820.83789</v>
      </c>
      <c r="P43" s="1">
        <v>244595.47764</v>
      </c>
      <c r="Q43" s="1">
        <v>269522.31747000001</v>
      </c>
      <c r="R43" s="1">
        <v>266070.52059999999</v>
      </c>
      <c r="S43" s="1">
        <v>281605.99566999997</v>
      </c>
      <c r="T43" s="1">
        <v>293912.58098999999</v>
      </c>
      <c r="U43" s="1">
        <v>300740.57458000001</v>
      </c>
      <c r="V43" s="1">
        <v>332512.60382000002</v>
      </c>
      <c r="W43" s="1">
        <v>340890.02207000001</v>
      </c>
      <c r="X43" s="1">
        <v>336892.95853</v>
      </c>
      <c r="Y43" s="1">
        <v>318894.26597000001</v>
      </c>
      <c r="Z43" s="1">
        <v>351228.89</v>
      </c>
      <c r="AA43" s="1">
        <v>379728.39</v>
      </c>
      <c r="AB43" s="1">
        <v>384298.13</v>
      </c>
      <c r="AC43" s="1">
        <v>419119.83</v>
      </c>
      <c r="AD43" s="1">
        <v>432045.42</v>
      </c>
    </row>
    <row r="44" spans="1:30">
      <c r="A44" s="1" t="s">
        <v>87</v>
      </c>
      <c r="B44" s="1" t="s">
        <v>6</v>
      </c>
      <c r="C44" s="1" t="s">
        <v>6</v>
      </c>
      <c r="D44" s="1" t="s">
        <v>6</v>
      </c>
      <c r="E44" s="1">
        <v>5885.5718496050604</v>
      </c>
      <c r="F44" s="1">
        <v>5981.9600971843201</v>
      </c>
      <c r="G44" s="1">
        <v>6210.9182246342998</v>
      </c>
      <c r="H44" s="1">
        <v>6509.2340253372704</v>
      </c>
      <c r="I44" s="1">
        <v>7186.6413874271302</v>
      </c>
      <c r="J44" s="1">
        <v>7544.7096076190101</v>
      </c>
      <c r="K44" s="1">
        <v>7913.6745774552601</v>
      </c>
      <c r="L44" s="1">
        <v>8332.0208204135397</v>
      </c>
      <c r="M44" s="1">
        <v>9006.2689545075591</v>
      </c>
      <c r="N44" s="1">
        <v>8968.9859961420207</v>
      </c>
      <c r="O44" s="1">
        <v>10010.582399999999</v>
      </c>
      <c r="P44" s="1">
        <v>11639.894480000001</v>
      </c>
      <c r="Q44" s="1">
        <v>13078.84576</v>
      </c>
      <c r="R44" s="1">
        <v>12820.11399</v>
      </c>
      <c r="S44" s="1">
        <v>12751.371940000001</v>
      </c>
      <c r="T44" s="1">
        <v>13793.956899999999</v>
      </c>
      <c r="U44" s="1">
        <v>14552.4367</v>
      </c>
      <c r="V44" s="1">
        <v>15960.520979999999</v>
      </c>
      <c r="W44" s="1">
        <v>16197.87874</v>
      </c>
      <c r="X44" s="1">
        <v>16544.33338</v>
      </c>
      <c r="Y44" s="1">
        <v>16114.690049999999</v>
      </c>
      <c r="Z44" s="1">
        <v>17164.75791</v>
      </c>
      <c r="AA44" s="1">
        <v>17640.591520000002</v>
      </c>
      <c r="AB44" s="1">
        <v>18201.55833</v>
      </c>
      <c r="AC44" s="1">
        <v>18005.314750000001</v>
      </c>
      <c r="AD44" s="1"/>
    </row>
    <row r="45" spans="1:30">
      <c r="A45" s="1" t="s">
        <v>87</v>
      </c>
      <c r="B45" s="1" t="s">
        <v>62</v>
      </c>
      <c r="C45" s="1" t="s">
        <v>22</v>
      </c>
      <c r="D45" s="1" t="s">
        <v>22</v>
      </c>
      <c r="E45" s="1">
        <v>35420.344863229402</v>
      </c>
      <c r="F45" s="1">
        <v>35510.639449464703</v>
      </c>
      <c r="G45" s="1">
        <v>33178.112923915898</v>
      </c>
      <c r="H45" s="1">
        <v>38280.347020951202</v>
      </c>
      <c r="I45" s="1">
        <v>40515.391087031203</v>
      </c>
      <c r="J45" s="1">
        <v>39749.424622829203</v>
      </c>
      <c r="K45" s="1">
        <v>38578.953076912498</v>
      </c>
      <c r="L45" s="1">
        <v>40716.537313118701</v>
      </c>
      <c r="M45" s="1">
        <v>41238.359521956503</v>
      </c>
      <c r="N45" s="1">
        <v>39396.975244007503</v>
      </c>
      <c r="O45" s="1">
        <v>43652.54</v>
      </c>
      <c r="P45" s="1">
        <v>49680.05</v>
      </c>
      <c r="Q45" s="1">
        <v>53707.48</v>
      </c>
      <c r="R45" s="1">
        <v>61923.620410000003</v>
      </c>
      <c r="S45" s="1">
        <v>68523.198099999994</v>
      </c>
      <c r="T45" s="1">
        <v>68716.85583</v>
      </c>
      <c r="U45" s="1">
        <v>66644.884590000001</v>
      </c>
      <c r="V45" s="1">
        <v>75670.847699999998</v>
      </c>
      <c r="W45" s="1">
        <v>84592.90165</v>
      </c>
      <c r="X45" s="1">
        <v>88909.097269999998</v>
      </c>
      <c r="Y45" s="1">
        <v>85535.252189999999</v>
      </c>
      <c r="Z45" s="1">
        <v>104222.20282999999</v>
      </c>
      <c r="AA45" s="1">
        <v>115030.48624</v>
      </c>
      <c r="AB45" s="1">
        <v>104053.81</v>
      </c>
      <c r="AC45" s="1">
        <v>117267.52</v>
      </c>
      <c r="AD45" s="1">
        <v>133212.43</v>
      </c>
    </row>
    <row r="46" spans="1:30">
      <c r="A46" s="1" t="s">
        <v>87</v>
      </c>
      <c r="B46" s="1" t="s">
        <v>66</v>
      </c>
      <c r="C46" s="1" t="s">
        <v>26</v>
      </c>
      <c r="D46" s="1" t="s">
        <v>26</v>
      </c>
      <c r="E46" s="1">
        <v>10039.659300589699</v>
      </c>
      <c r="F46" s="1">
        <v>9637.8133428307592</v>
      </c>
      <c r="G46" s="1">
        <v>9796.66662673473</v>
      </c>
      <c r="H46" s="1">
        <v>10695.267482471199</v>
      </c>
      <c r="I46" s="1">
        <v>11180.687352131599</v>
      </c>
      <c r="J46" s="1">
        <v>11794.1174283814</v>
      </c>
      <c r="K46" s="1">
        <v>13107.8745780221</v>
      </c>
      <c r="L46" s="1">
        <v>13295.7359214722</v>
      </c>
      <c r="M46" s="1">
        <v>15755.6810613788</v>
      </c>
      <c r="N46" s="1">
        <v>19012.1075283356</v>
      </c>
      <c r="O46" s="1">
        <v>23886.645</v>
      </c>
      <c r="P46" s="1">
        <v>25677.580999999998</v>
      </c>
      <c r="Q46" s="1">
        <v>27975.125</v>
      </c>
      <c r="R46" s="1">
        <v>31494.949000000001</v>
      </c>
      <c r="S46" s="1">
        <v>32006.5</v>
      </c>
      <c r="T46" s="1">
        <v>34498.6</v>
      </c>
      <c r="U46" s="1">
        <v>38054.826999999997</v>
      </c>
      <c r="V46" s="1">
        <v>42464.7</v>
      </c>
      <c r="W46" s="1">
        <v>46881.9</v>
      </c>
      <c r="X46" s="1">
        <v>48925</v>
      </c>
      <c r="Y46" s="1">
        <v>45881.2</v>
      </c>
      <c r="Z46" s="1">
        <v>48326.2</v>
      </c>
      <c r="AA46" s="1">
        <v>57134.6</v>
      </c>
      <c r="AB46" s="1">
        <v>56841</v>
      </c>
      <c r="AC46" s="1">
        <v>56590</v>
      </c>
      <c r="AD46" s="1">
        <v>62629.3</v>
      </c>
    </row>
    <row r="47" spans="1:30">
      <c r="A47" s="1" t="s">
        <v>87</v>
      </c>
      <c r="B47" s="1" t="s">
        <v>80</v>
      </c>
      <c r="C47" s="1" t="s">
        <v>93</v>
      </c>
      <c r="D47" s="1" t="s">
        <v>14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v>59394.65</v>
      </c>
      <c r="AB47" s="1">
        <v>57982.28</v>
      </c>
      <c r="AC47" s="1">
        <v>64800.28</v>
      </c>
      <c r="AD47" s="1"/>
    </row>
    <row r="48" spans="1:30">
      <c r="A48" s="1" t="s">
        <v>87</v>
      </c>
      <c r="B48" s="1" t="s">
        <v>72</v>
      </c>
      <c r="C48" s="1" t="s">
        <v>36</v>
      </c>
      <c r="D48" s="1" t="s">
        <v>36</v>
      </c>
      <c r="E48" s="1">
        <v>7500.7863113782796</v>
      </c>
      <c r="F48" s="1">
        <v>7892.6755460295699</v>
      </c>
      <c r="G48" s="1">
        <v>8274.63807638865</v>
      </c>
      <c r="H48" s="1">
        <v>8578.9082707738107</v>
      </c>
      <c r="I48" s="1">
        <v>8890.5096743550603</v>
      </c>
      <c r="J48" s="1">
        <v>9332.3709967391496</v>
      </c>
      <c r="K48" s="1">
        <v>9878.0312994268697</v>
      </c>
      <c r="L48" s="1">
        <v>10825.6110218057</v>
      </c>
      <c r="M48" s="1">
        <v>11881.2725633277</v>
      </c>
      <c r="N48" s="1">
        <v>12491.710638099699</v>
      </c>
      <c r="O48" s="1">
        <v>13951.02255</v>
      </c>
      <c r="P48" s="1">
        <v>17033.43678</v>
      </c>
      <c r="Q48" s="1">
        <v>22073.639859999999</v>
      </c>
      <c r="R48" s="1">
        <v>19843.541639999999</v>
      </c>
      <c r="S48" s="1">
        <v>19644.7716</v>
      </c>
      <c r="T48" s="1">
        <v>25067.74251</v>
      </c>
      <c r="U48" s="1">
        <v>40319.446029999999</v>
      </c>
      <c r="V48" s="1">
        <v>44537.492039999997</v>
      </c>
      <c r="W48" s="1">
        <v>97813.047730000006</v>
      </c>
      <c r="X48" s="1">
        <v>112407.84606</v>
      </c>
      <c r="Y48" s="1">
        <v>143629.45449999999</v>
      </c>
      <c r="Z48" s="1">
        <v>158796.10876</v>
      </c>
      <c r="AA48" s="1">
        <v>194754.67</v>
      </c>
      <c r="AB48" s="1">
        <v>231589.54</v>
      </c>
      <c r="AC48" s="1">
        <v>275299.86</v>
      </c>
      <c r="AD48" s="1"/>
    </row>
    <row r="49" spans="1:30">
      <c r="A49" s="1" t="s">
        <v>87</v>
      </c>
      <c r="B49" s="1" t="s">
        <v>9</v>
      </c>
      <c r="C49" s="1" t="s">
        <v>9</v>
      </c>
      <c r="D49" s="1" t="s">
        <v>9</v>
      </c>
      <c r="E49" s="1">
        <v>1628.5231652964501</v>
      </c>
      <c r="F49" s="1">
        <v>1767.45076499016</v>
      </c>
      <c r="G49" s="1">
        <v>1903.57435210433</v>
      </c>
      <c r="H49" s="1">
        <v>2033.5839715100001</v>
      </c>
      <c r="I49" s="1">
        <v>2133.5795253599199</v>
      </c>
      <c r="J49" s="1">
        <v>2268.7569843507199</v>
      </c>
      <c r="K49" s="1">
        <v>2226.23257747866</v>
      </c>
      <c r="L49" s="1">
        <v>2336.6401223759099</v>
      </c>
      <c r="M49" s="1">
        <v>2477.2758751913898</v>
      </c>
      <c r="N49" s="1">
        <v>2555.1554619847602</v>
      </c>
      <c r="O49" s="1">
        <v>2719.3946178299998</v>
      </c>
      <c r="P49" s="1">
        <v>2543.26148225</v>
      </c>
      <c r="Q49" s="1">
        <v>2933.9539369499998</v>
      </c>
      <c r="R49" s="1">
        <v>3541.6401847900001</v>
      </c>
      <c r="S49" s="1">
        <v>4278.2479202200002</v>
      </c>
      <c r="T49" s="1">
        <v>4416.2521299999999</v>
      </c>
      <c r="U49" s="1">
        <v>4400.8889799999997</v>
      </c>
      <c r="V49" s="1">
        <v>4808.5274399999998</v>
      </c>
      <c r="W49" s="1">
        <v>5424.8026600000003</v>
      </c>
      <c r="X49" s="1">
        <v>5413.1308799999997</v>
      </c>
      <c r="Y49" s="1">
        <v>4714.7278299999998</v>
      </c>
      <c r="Z49" s="1">
        <v>5736.9343699999999</v>
      </c>
      <c r="AA49" s="1">
        <v>6213.7539999999999</v>
      </c>
      <c r="AB49" s="1">
        <v>5265.26019</v>
      </c>
      <c r="AC49" s="1">
        <v>5983.5241800000003</v>
      </c>
      <c r="AD49" s="1">
        <v>6461</v>
      </c>
    </row>
    <row r="50" spans="1:30">
      <c r="A50" s="1" t="s">
        <v>87</v>
      </c>
      <c r="B50" s="1" t="s">
        <v>8</v>
      </c>
      <c r="C50" s="1" t="s">
        <v>8</v>
      </c>
      <c r="D50" s="1" t="s">
        <v>8</v>
      </c>
      <c r="E50" s="1">
        <v>244095.98188271999</v>
      </c>
      <c r="F50" s="1">
        <v>234876.96127918601</v>
      </c>
      <c r="G50" s="1">
        <v>254639.92741478799</v>
      </c>
      <c r="H50" s="1">
        <v>295410.74602082302</v>
      </c>
      <c r="I50" s="1">
        <v>343153.47177105502</v>
      </c>
      <c r="J50" s="1">
        <v>381932.26234151999</v>
      </c>
      <c r="K50" s="1">
        <v>398128.25374445599</v>
      </c>
      <c r="L50" s="1">
        <v>420937.689410722</v>
      </c>
      <c r="M50" s="1">
        <v>440312.402237695</v>
      </c>
      <c r="N50" s="1">
        <v>441353.38801059802</v>
      </c>
      <c r="O50" s="1">
        <v>473891.31920999999</v>
      </c>
      <c r="P50" s="1">
        <v>584876.79119999998</v>
      </c>
      <c r="Q50" s="1">
        <v>576970.60381</v>
      </c>
      <c r="R50" s="1">
        <v>541272.49352000002</v>
      </c>
      <c r="S50" s="1">
        <v>551708.75641999999</v>
      </c>
      <c r="T50" s="1">
        <v>553924.17954000004</v>
      </c>
      <c r="U50" s="1">
        <v>576458.93123999995</v>
      </c>
      <c r="V50" s="1">
        <v>756531.27645</v>
      </c>
      <c r="W50" s="1">
        <v>1001227.27322</v>
      </c>
      <c r="X50" s="1">
        <v>983214.58469000005</v>
      </c>
      <c r="Y50" s="1">
        <v>887825.87748999998</v>
      </c>
      <c r="Z50" s="1">
        <v>988640.33258000005</v>
      </c>
      <c r="AA50" s="1">
        <v>1113108.93</v>
      </c>
      <c r="AB50" s="1">
        <v>1199014.98</v>
      </c>
      <c r="AC50" s="1">
        <v>1314627.56</v>
      </c>
      <c r="AD50" s="1"/>
    </row>
    <row r="51" spans="1:30">
      <c r="A51" s="1" t="s">
        <v>87</v>
      </c>
      <c r="B51" s="1" t="s">
        <v>63</v>
      </c>
      <c r="C51" s="1" t="s">
        <v>23</v>
      </c>
      <c r="D51" s="1" t="s">
        <v>23</v>
      </c>
      <c r="E51" s="1">
        <v>235331.65677203599</v>
      </c>
      <c r="F51" s="1">
        <v>237926.08677655601</v>
      </c>
      <c r="G51" s="1">
        <v>221612.65553093099</v>
      </c>
      <c r="H51" s="1">
        <v>231802.27479745401</v>
      </c>
      <c r="I51" s="1">
        <v>244331.59670195001</v>
      </c>
      <c r="J51" s="1">
        <v>270529.032812302</v>
      </c>
      <c r="K51" s="1">
        <v>294431.806782239</v>
      </c>
      <c r="L51" s="1">
        <v>311001.45497555501</v>
      </c>
      <c r="M51" s="1">
        <v>329225.76128949499</v>
      </c>
      <c r="N51" s="1">
        <v>319391.06222525099</v>
      </c>
      <c r="O51" s="1">
        <v>348456.09552999999</v>
      </c>
      <c r="P51" s="1">
        <v>431205.39753999998</v>
      </c>
      <c r="Q51" s="1">
        <v>496215.45364999998</v>
      </c>
      <c r="R51" s="1">
        <v>515981.67323000001</v>
      </c>
      <c r="S51" s="1">
        <v>575459.30978000001</v>
      </c>
      <c r="T51" s="1">
        <v>592478.22901999997</v>
      </c>
      <c r="U51" s="1">
        <v>671096.85262000002</v>
      </c>
      <c r="V51" s="1">
        <v>749400.18206000002</v>
      </c>
      <c r="W51" s="1">
        <v>817740.55793999997</v>
      </c>
      <c r="X51" s="1">
        <v>845287.78968000005</v>
      </c>
      <c r="Y51" s="1">
        <v>817057.63236000005</v>
      </c>
      <c r="Z51" s="1">
        <v>902139.84</v>
      </c>
      <c r="AA51" s="1">
        <v>985733.75</v>
      </c>
      <c r="AB51" s="1">
        <v>1002438.67</v>
      </c>
      <c r="AC51" s="1">
        <v>1093502.8</v>
      </c>
      <c r="AD51" s="1">
        <v>1166044.78</v>
      </c>
    </row>
    <row r="52" spans="1:30">
      <c r="A52" s="1" t="s">
        <v>87</v>
      </c>
      <c r="B52" s="1" t="s">
        <v>69</v>
      </c>
      <c r="C52" s="1" t="s">
        <v>27</v>
      </c>
      <c r="D52" s="1" t="s">
        <v>27</v>
      </c>
      <c r="E52" s="1">
        <v>291350.95314496499</v>
      </c>
      <c r="F52" s="1">
        <v>304457.50758279499</v>
      </c>
      <c r="G52" s="1">
        <v>301062.70631484699</v>
      </c>
      <c r="H52" s="1">
        <v>307203.71696540102</v>
      </c>
      <c r="I52" s="1">
        <v>328304.36098985502</v>
      </c>
      <c r="J52" s="1">
        <v>351845.866320837</v>
      </c>
      <c r="K52" s="1">
        <v>371611.129964903</v>
      </c>
      <c r="L52" s="1">
        <v>380265.20328361797</v>
      </c>
      <c r="M52" s="1">
        <v>399930.62169615098</v>
      </c>
      <c r="N52" s="1">
        <v>378007.935229572</v>
      </c>
      <c r="O52" s="1">
        <v>408291.06464</v>
      </c>
      <c r="P52" s="1">
        <v>430355.78820000001</v>
      </c>
      <c r="Q52" s="1">
        <v>454195.05631000001</v>
      </c>
      <c r="R52" s="1">
        <v>467041.12044999999</v>
      </c>
      <c r="S52" s="1">
        <v>475151.60879000003</v>
      </c>
      <c r="T52" s="1">
        <v>473419.86822</v>
      </c>
      <c r="U52" s="1">
        <v>481739.00537999999</v>
      </c>
      <c r="V52" s="1">
        <v>502223.35271000001</v>
      </c>
      <c r="W52" s="1">
        <v>513208.16678999999</v>
      </c>
      <c r="X52" s="1">
        <v>539516.95765</v>
      </c>
      <c r="Y52" s="1">
        <v>519613.39935000002</v>
      </c>
      <c r="Z52" s="1">
        <v>537033.35421000002</v>
      </c>
      <c r="AA52" s="1">
        <v>556463.44999999995</v>
      </c>
      <c r="AB52" s="1">
        <v>589664.61</v>
      </c>
      <c r="AC52" s="1">
        <v>631016.87</v>
      </c>
      <c r="AD52" s="1">
        <v>669089.9</v>
      </c>
    </row>
    <row r="53" spans="1:30">
      <c r="A53" s="1" t="s">
        <v>87</v>
      </c>
      <c r="B53" s="1" t="s">
        <v>67</v>
      </c>
      <c r="C53" s="1" t="s">
        <v>32</v>
      </c>
      <c r="D53" s="1" t="s">
        <v>32</v>
      </c>
      <c r="E53" s="1">
        <v>1371.6526537944401</v>
      </c>
      <c r="F53" s="1">
        <v>1898.91884388008</v>
      </c>
      <c r="G53" s="1">
        <v>2106.8237804671899</v>
      </c>
      <c r="H53" s="1">
        <v>2232.2149392772499</v>
      </c>
      <c r="I53" s="1">
        <v>2270.8256659018198</v>
      </c>
      <c r="J53" s="1">
        <v>2473.1715479386198</v>
      </c>
      <c r="K53" s="1">
        <v>2739.5862136775199</v>
      </c>
      <c r="L53" s="1">
        <v>2994.0368110115101</v>
      </c>
      <c r="M53" s="1">
        <v>3074.34100637245</v>
      </c>
      <c r="N53" s="1">
        <v>3114.7682494083701</v>
      </c>
      <c r="O53" s="1">
        <v>3152.7413099999999</v>
      </c>
      <c r="P53" s="1">
        <v>5481.6006500000003</v>
      </c>
      <c r="Q53" s="1">
        <v>7750.0072799999998</v>
      </c>
      <c r="R53" s="1">
        <v>4708.8682799999997</v>
      </c>
      <c r="S53" s="1">
        <v>5347.4404599999998</v>
      </c>
      <c r="T53" s="1">
        <v>10490.511200000001</v>
      </c>
      <c r="U53" s="1">
        <v>5746.0346499999996</v>
      </c>
      <c r="V53" s="1">
        <v>5540.1921199999997</v>
      </c>
      <c r="W53" s="1">
        <v>6474.4411</v>
      </c>
      <c r="X53" s="1">
        <v>6217.0265399999998</v>
      </c>
      <c r="Y53" s="1">
        <v>4057.97019</v>
      </c>
      <c r="Z53" s="1">
        <v>3426.4635800000001</v>
      </c>
      <c r="AA53" s="1">
        <v>3757.36078</v>
      </c>
      <c r="AB53" s="1">
        <v>4509.5679399999999</v>
      </c>
      <c r="AC53" s="1">
        <v>4330.1326300000001</v>
      </c>
      <c r="AD53" s="1"/>
    </row>
    <row r="54" spans="1:30">
      <c r="A54" s="1" t="s">
        <v>87</v>
      </c>
      <c r="B54" s="1" t="s">
        <v>12</v>
      </c>
      <c r="C54" s="1" t="s">
        <v>12</v>
      </c>
      <c r="D54" s="1" t="s">
        <v>12</v>
      </c>
      <c r="E54" s="1">
        <v>595.61249523341996</v>
      </c>
      <c r="F54" s="1">
        <v>871.07980666418098</v>
      </c>
      <c r="G54" s="1">
        <v>1078.3719387900801</v>
      </c>
      <c r="H54" s="1">
        <v>1344.2816793893601</v>
      </c>
      <c r="I54" s="1">
        <v>1617.7153566361701</v>
      </c>
      <c r="J54" s="1">
        <v>1948.9089231754001</v>
      </c>
      <c r="K54" s="1">
        <v>2340.97476000705</v>
      </c>
      <c r="L54" s="1">
        <v>2882.7791721185199</v>
      </c>
      <c r="M54" s="1">
        <v>3132.9692593649102</v>
      </c>
      <c r="N54" s="1">
        <v>3069.5880105172801</v>
      </c>
      <c r="O54" s="1">
        <v>3226.69</v>
      </c>
      <c r="P54" s="1">
        <v>3799.53</v>
      </c>
      <c r="Q54" s="1">
        <v>4775.88</v>
      </c>
      <c r="R54" s="1">
        <v>4812.59</v>
      </c>
      <c r="S54" s="1">
        <v>5175.6499999999996</v>
      </c>
      <c r="T54" s="1">
        <v>5327.66</v>
      </c>
      <c r="U54" s="1">
        <v>5083.93</v>
      </c>
      <c r="V54" s="1">
        <v>5383.49</v>
      </c>
      <c r="W54" s="1">
        <v>6135.94</v>
      </c>
      <c r="X54" s="1">
        <v>6254.89</v>
      </c>
      <c r="Y54" s="1">
        <v>6102.36</v>
      </c>
      <c r="Z54" s="1">
        <v>6776.3</v>
      </c>
      <c r="AA54" s="1">
        <v>7259.77</v>
      </c>
      <c r="AB54" s="1">
        <v>7737.11</v>
      </c>
      <c r="AC54" s="1">
        <v>8409.6299999999992</v>
      </c>
      <c r="AD54" s="1"/>
    </row>
    <row r="55" spans="1:30">
      <c r="A55" s="1" t="s">
        <v>87</v>
      </c>
      <c r="B55" s="1" t="s">
        <v>5</v>
      </c>
      <c r="C55" s="1" t="s">
        <v>5</v>
      </c>
      <c r="D55" s="1" t="s">
        <v>5</v>
      </c>
      <c r="E55" s="1">
        <v>27406.778410886702</v>
      </c>
      <c r="F55" s="1">
        <v>29184.5033387695</v>
      </c>
      <c r="G55" s="1">
        <v>29208.938251516302</v>
      </c>
      <c r="H55" s="1">
        <v>28964.154999362399</v>
      </c>
      <c r="I55" s="1">
        <v>30716.309866572101</v>
      </c>
      <c r="J55" s="1">
        <v>34709.889053225997</v>
      </c>
      <c r="K55" s="1">
        <v>39551.497742841399</v>
      </c>
      <c r="L55" s="1">
        <v>47189.309306008603</v>
      </c>
      <c r="M55" s="1">
        <v>48943.8405898032</v>
      </c>
      <c r="N55" s="1">
        <v>54293.164885455597</v>
      </c>
      <c r="O55" s="1">
        <v>73721.857999999993</v>
      </c>
      <c r="P55" s="1">
        <v>76468.471000000005</v>
      </c>
      <c r="Q55" s="1">
        <v>72869.868000000002</v>
      </c>
      <c r="R55" s="1">
        <v>76358.625</v>
      </c>
      <c r="S55" s="1">
        <v>80931.573999999993</v>
      </c>
      <c r="T55" s="1">
        <v>88473.649000000005</v>
      </c>
      <c r="U55" s="1">
        <v>91157.01</v>
      </c>
      <c r="V55" s="1">
        <v>100551.44</v>
      </c>
      <c r="W55" s="1">
        <v>108691.61</v>
      </c>
      <c r="X55" s="1">
        <v>112297.08</v>
      </c>
      <c r="Y55" s="1">
        <v>101607.31</v>
      </c>
      <c r="Z55" s="1">
        <v>106352.4</v>
      </c>
      <c r="AA55" s="1">
        <v>110836.94</v>
      </c>
      <c r="AB55" s="1">
        <v>108965.38</v>
      </c>
      <c r="AC55" s="1">
        <v>112821.18</v>
      </c>
      <c r="AD55" s="1"/>
    </row>
    <row r="56" spans="1:30">
      <c r="A56" s="1" t="s">
        <v>87</v>
      </c>
      <c r="B56" s="1" t="s">
        <v>7</v>
      </c>
      <c r="C56" s="1" t="s">
        <v>7</v>
      </c>
      <c r="D56" s="1" t="s">
        <v>7</v>
      </c>
      <c r="E56" s="1">
        <v>33560.177347640099</v>
      </c>
      <c r="F56" s="1">
        <v>29077.251027992901</v>
      </c>
      <c r="G56" s="1">
        <v>31302.198419349901</v>
      </c>
      <c r="H56" s="1">
        <v>38605.177880050796</v>
      </c>
      <c r="I56" s="1">
        <v>35413.889881865602</v>
      </c>
      <c r="J56" s="1">
        <v>41744.979670113396</v>
      </c>
      <c r="K56" s="1">
        <v>46511.223445767901</v>
      </c>
      <c r="L56" s="1">
        <v>46447.2572361395</v>
      </c>
      <c r="M56" s="1">
        <v>68386.425356746797</v>
      </c>
      <c r="N56" s="1">
        <v>61676.0581196942</v>
      </c>
      <c r="O56" s="1">
        <v>58516.351029999998</v>
      </c>
      <c r="P56" s="1">
        <v>66929.744720000002</v>
      </c>
      <c r="Q56" s="1">
        <v>88912.711729999995</v>
      </c>
      <c r="R56" s="1">
        <v>88292.00417</v>
      </c>
      <c r="S56" s="1">
        <v>91988.581460000001</v>
      </c>
      <c r="T56" s="1">
        <v>87104.121969999993</v>
      </c>
      <c r="U56" s="1">
        <v>84860.149560000005</v>
      </c>
      <c r="V56" s="1">
        <v>89754.319329999998</v>
      </c>
      <c r="W56" s="1">
        <v>100202.05022</v>
      </c>
      <c r="X56" s="1">
        <v>105181.83948</v>
      </c>
      <c r="Y56" s="1">
        <v>100669.14564</v>
      </c>
      <c r="Z56" s="1">
        <v>117991.61096000001</v>
      </c>
      <c r="AA56" s="1">
        <v>125813.01</v>
      </c>
      <c r="AB56" s="1">
        <v>133226.67238</v>
      </c>
      <c r="AC56" s="1">
        <v>149412.72</v>
      </c>
      <c r="AD56" s="1">
        <v>61878.04</v>
      </c>
    </row>
    <row r="57" spans="1:30">
      <c r="A57" s="1" t="s">
        <v>87</v>
      </c>
      <c r="B57" s="1" t="s">
        <v>13</v>
      </c>
      <c r="C57" s="1" t="s">
        <v>13</v>
      </c>
      <c r="D57" s="1" t="s">
        <v>13</v>
      </c>
      <c r="E57" s="1">
        <v>3103.2197101596398</v>
      </c>
      <c r="F57" s="1">
        <v>2823.7778718506402</v>
      </c>
      <c r="G57" s="1">
        <v>2842.2347723964799</v>
      </c>
      <c r="H57" s="1">
        <v>2994.8258621109699</v>
      </c>
      <c r="I57" s="1">
        <v>3118.1104335417199</v>
      </c>
      <c r="J57" s="1">
        <v>3233.5156465331602</v>
      </c>
      <c r="K57" s="1">
        <v>3453.5090346311299</v>
      </c>
      <c r="L57" s="1">
        <v>3773.0307134169202</v>
      </c>
      <c r="M57" s="1">
        <v>3960.2071605040101</v>
      </c>
      <c r="N57" s="1">
        <v>4062.4626783307799</v>
      </c>
      <c r="O57" s="1">
        <v>4533.9192599999997</v>
      </c>
      <c r="P57" s="1">
        <v>4417.1660099999999</v>
      </c>
      <c r="Q57" s="1">
        <v>5376.0405099999998</v>
      </c>
      <c r="R57" s="1">
        <v>5835.6938600000003</v>
      </c>
      <c r="S57" s="1">
        <v>5189.1781899999996</v>
      </c>
      <c r="T57" s="1">
        <v>5183.5487800000001</v>
      </c>
      <c r="U57" s="1">
        <v>5403.5587400000004</v>
      </c>
      <c r="V57" s="1">
        <v>5347.3847800000003</v>
      </c>
      <c r="W57" s="1">
        <v>4771.4345000000003</v>
      </c>
      <c r="X57" s="1">
        <v>3985.17722</v>
      </c>
      <c r="Y57" s="1">
        <v>2791.8851500000001</v>
      </c>
      <c r="Z57" s="1">
        <v>4043.7156199999999</v>
      </c>
      <c r="AA57" s="1">
        <v>4787.5938299999998</v>
      </c>
      <c r="AB57" s="1">
        <v>4128.3143700000001</v>
      </c>
      <c r="AC57" s="1">
        <v>145.72</v>
      </c>
      <c r="AD57" s="1"/>
    </row>
    <row r="58" spans="1:30">
      <c r="A58" s="1" t="s">
        <v>87</v>
      </c>
      <c r="B58" s="1" t="s">
        <v>70</v>
      </c>
      <c r="C58" s="1" t="s">
        <v>46</v>
      </c>
      <c r="D58" s="1" t="s">
        <v>46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>
        <v>34402.426480000002</v>
      </c>
      <c r="R58" s="1">
        <v>37225.750059999998</v>
      </c>
      <c r="S58" s="1">
        <v>41345.536310000003</v>
      </c>
      <c r="T58" s="1">
        <v>42093.10471</v>
      </c>
      <c r="U58" s="1">
        <v>44096.758909999997</v>
      </c>
      <c r="V58" s="1">
        <v>48029.822169999999</v>
      </c>
      <c r="W58" s="1">
        <v>51249.329239999999</v>
      </c>
      <c r="X58" s="1">
        <v>57140.194360000001</v>
      </c>
      <c r="Y58" s="1">
        <v>57834.849569999998</v>
      </c>
      <c r="Z58" s="1">
        <v>66189.414489999996</v>
      </c>
      <c r="AA58" s="1">
        <v>70918.924599999998</v>
      </c>
      <c r="AB58" s="1">
        <v>72137.949200000003</v>
      </c>
      <c r="AC58" s="1">
        <v>73589.006399999998</v>
      </c>
      <c r="AD58" s="1">
        <v>75781.568299999999</v>
      </c>
    </row>
    <row r="59" spans="1:30">
      <c r="A59" s="1" t="s">
        <v>87</v>
      </c>
      <c r="B59" s="1" t="s">
        <v>76</v>
      </c>
      <c r="C59" s="1" t="s">
        <v>30</v>
      </c>
      <c r="D59" s="1" t="s">
        <v>30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>
      <c r="A60" s="1" t="s">
        <v>87</v>
      </c>
      <c r="B60" s="1" t="s">
        <v>71</v>
      </c>
      <c r="C60" s="1" t="s">
        <v>38</v>
      </c>
      <c r="D60" s="1" t="s">
        <v>38</v>
      </c>
      <c r="E60" s="1">
        <v>5821.1531884504102</v>
      </c>
      <c r="F60" s="1">
        <v>3730.6071591688501</v>
      </c>
      <c r="G60" s="1">
        <v>3736.6581305731002</v>
      </c>
      <c r="H60" s="1">
        <v>4764.2213174645203</v>
      </c>
      <c r="I60" s="1">
        <v>6742.4751645632696</v>
      </c>
      <c r="J60" s="1">
        <v>7576.5815977865695</v>
      </c>
      <c r="K60" s="1">
        <v>7447.4313599045699</v>
      </c>
      <c r="L60" s="1">
        <v>8202.2226587763398</v>
      </c>
      <c r="M60" s="1">
        <v>9995.6779715999892</v>
      </c>
      <c r="N60" s="1">
        <v>10402.3825068349</v>
      </c>
      <c r="O60" s="1">
        <v>11844.726000000001</v>
      </c>
      <c r="P60" s="1">
        <v>18579.839</v>
      </c>
      <c r="Q60" s="1">
        <v>24554.471000000001</v>
      </c>
      <c r="R60" s="1">
        <v>19319.593000000001</v>
      </c>
      <c r="S60" s="1">
        <v>22959.623</v>
      </c>
      <c r="T60" s="1">
        <v>18123.275000000001</v>
      </c>
      <c r="U60" s="1">
        <v>20406.113000000001</v>
      </c>
      <c r="V60" s="1">
        <v>20527.698</v>
      </c>
      <c r="W60" s="1">
        <v>23275.491000000002</v>
      </c>
      <c r="X60" s="1">
        <v>23521.511999999999</v>
      </c>
      <c r="Y60" s="1">
        <v>22975.226999999999</v>
      </c>
      <c r="Z60" s="1">
        <v>24936.158070000001</v>
      </c>
      <c r="AA60" s="1">
        <v>25347.286749999999</v>
      </c>
      <c r="AB60" s="1">
        <v>26448.298409999999</v>
      </c>
      <c r="AC60" s="1">
        <v>26904.414000000001</v>
      </c>
      <c r="AD60" s="1"/>
    </row>
    <row r="61" spans="1:30">
      <c r="A61" s="1" t="s">
        <v>87</v>
      </c>
      <c r="B61" s="1" t="s">
        <v>56</v>
      </c>
      <c r="C61" s="1" t="s">
        <v>41</v>
      </c>
      <c r="D61" s="1" t="s">
        <v>41</v>
      </c>
      <c r="E61" s="1">
        <v>66631.126518903897</v>
      </c>
      <c r="F61" s="1">
        <v>75113.062711715495</v>
      </c>
      <c r="G61" s="1">
        <v>76998.671691422904</v>
      </c>
      <c r="H61" s="1">
        <v>80887.252120138699</v>
      </c>
      <c r="I61" s="1">
        <v>99141.186651552795</v>
      </c>
      <c r="J61" s="1">
        <v>105554.936056256</v>
      </c>
      <c r="K61" s="1">
        <v>101650.592410254</v>
      </c>
      <c r="L61" s="1">
        <v>111052.666570139</v>
      </c>
      <c r="M61" s="1">
        <v>122585.85203570301</v>
      </c>
      <c r="N61" s="1">
        <v>121424.194060436</v>
      </c>
      <c r="O61" s="1">
        <v>133920.52807999999</v>
      </c>
      <c r="P61" s="1">
        <v>155912.63641000001</v>
      </c>
      <c r="Q61" s="1">
        <v>159278.56396999999</v>
      </c>
      <c r="R61" s="1">
        <v>178463.31683</v>
      </c>
      <c r="S61" s="1">
        <v>191872.58077999999</v>
      </c>
      <c r="T61" s="1">
        <v>189848.61666</v>
      </c>
      <c r="U61" s="1">
        <v>194929.51069</v>
      </c>
      <c r="V61" s="1">
        <v>208689.47859000001</v>
      </c>
      <c r="W61" s="1">
        <v>222718.55575999999</v>
      </c>
      <c r="X61" s="1">
        <v>218152.12602</v>
      </c>
      <c r="Y61" s="1">
        <v>195680.30643999999</v>
      </c>
      <c r="Z61" s="1">
        <v>223930.56445999999</v>
      </c>
      <c r="AA61" s="1">
        <v>249627.86583</v>
      </c>
      <c r="AB61" s="1">
        <v>248219.13</v>
      </c>
      <c r="AC61" s="1">
        <v>276532.14</v>
      </c>
      <c r="AD61" s="1"/>
    </row>
    <row r="62" spans="1:30">
      <c r="A62" s="1" t="s">
        <v>87</v>
      </c>
      <c r="B62" s="1" t="s">
        <v>14</v>
      </c>
      <c r="C62" s="1" t="s">
        <v>14</v>
      </c>
      <c r="D62" s="1" t="s">
        <v>14</v>
      </c>
      <c r="E62" s="1">
        <v>56393.052750966803</v>
      </c>
      <c r="F62" s="1">
        <v>57343.511117088499</v>
      </c>
      <c r="G62" s="1">
        <v>51548.662378071902</v>
      </c>
      <c r="H62" s="1">
        <v>58350.256241032199</v>
      </c>
      <c r="I62" s="1">
        <v>45225.489187618798</v>
      </c>
      <c r="J62" s="1">
        <v>50917.073585056598</v>
      </c>
      <c r="K62" s="1">
        <v>52849.598722310802</v>
      </c>
      <c r="L62" s="1">
        <v>47522.113161039902</v>
      </c>
      <c r="M62" s="1">
        <v>43592.815427984599</v>
      </c>
      <c r="N62" s="1">
        <v>51590.984572292902</v>
      </c>
      <c r="O62" s="1">
        <v>46999.046912999998</v>
      </c>
      <c r="P62" s="1">
        <v>33910.145840750003</v>
      </c>
      <c r="Q62" s="1">
        <v>24281.055263990002</v>
      </c>
      <c r="R62" s="1">
        <v>32143.11906864</v>
      </c>
      <c r="S62" s="1">
        <v>17091.17105329</v>
      </c>
      <c r="T62" s="1">
        <v>23736.758290000002</v>
      </c>
      <c r="U62" s="1">
        <v>25377.053599999999</v>
      </c>
      <c r="V62" s="1">
        <v>24016.292440000001</v>
      </c>
      <c r="W62" s="1">
        <v>33517.562740000001</v>
      </c>
      <c r="X62" s="1">
        <v>10533.485650000001</v>
      </c>
      <c r="Y62" s="1">
        <v>15901.65645</v>
      </c>
      <c r="Z62" s="1">
        <v>28341.608960000001</v>
      </c>
      <c r="AA62" s="1">
        <v>41443.784050000002</v>
      </c>
      <c r="AB62" s="1">
        <v>42395.071199999998</v>
      </c>
      <c r="AC62" s="1">
        <v>61382.73</v>
      </c>
      <c r="AD62" s="1"/>
    </row>
    <row r="63" spans="1:30">
      <c r="A63" s="1" t="s">
        <v>87</v>
      </c>
      <c r="B63" s="1" t="s">
        <v>81</v>
      </c>
      <c r="C63" s="1" t="s">
        <v>94</v>
      </c>
      <c r="D63" s="1" t="s">
        <v>14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>
        <v>2236.9</v>
      </c>
      <c r="AC63" s="1">
        <v>2319.38</v>
      </c>
      <c r="AD63" s="1"/>
    </row>
    <row r="64" spans="1:30">
      <c r="A64" s="1" t="s">
        <v>87</v>
      </c>
      <c r="B64" s="1" t="s">
        <v>4</v>
      </c>
      <c r="C64" s="1" t="s">
        <v>4</v>
      </c>
      <c r="D64" s="1" t="s">
        <v>4</v>
      </c>
      <c r="E64" s="1">
        <v>227774.34193090801</v>
      </c>
      <c r="F64" s="1">
        <v>335229.78614051797</v>
      </c>
      <c r="G64" s="1">
        <v>289578.70316265902</v>
      </c>
      <c r="H64" s="1">
        <v>186245.16044384899</v>
      </c>
      <c r="I64" s="1">
        <v>189927.09540094901</v>
      </c>
      <c r="J64" s="1">
        <v>199143.25171774</v>
      </c>
      <c r="K64" s="1">
        <v>207868.62157182299</v>
      </c>
      <c r="L64" s="1">
        <v>220898.35232153299</v>
      </c>
      <c r="M64" s="1">
        <v>235674.78458427399</v>
      </c>
      <c r="N64" s="1">
        <v>226771.23916648401</v>
      </c>
      <c r="O64" s="1">
        <v>229801.07292999999</v>
      </c>
      <c r="P64" s="1">
        <v>268075.13397999998</v>
      </c>
      <c r="Q64" s="1">
        <v>293195.74098</v>
      </c>
      <c r="R64" s="1">
        <v>285085.39007000002</v>
      </c>
      <c r="S64" s="1">
        <v>242929.36048999999</v>
      </c>
      <c r="T64" s="1">
        <v>200076.97919000001</v>
      </c>
      <c r="U64" s="1">
        <v>179832.75919000001</v>
      </c>
      <c r="V64" s="1">
        <v>205304.96156</v>
      </c>
      <c r="W64" s="1">
        <v>209526.11095</v>
      </c>
      <c r="X64" s="1">
        <v>213493.49007</v>
      </c>
      <c r="Y64" s="1">
        <v>225753.45183000001</v>
      </c>
      <c r="Z64" s="1">
        <v>289376.87709000002</v>
      </c>
      <c r="AA64" s="1">
        <v>336936.21</v>
      </c>
      <c r="AB64" s="1">
        <v>347466.91</v>
      </c>
      <c r="AC64" s="1">
        <v>353960.03</v>
      </c>
      <c r="AD64" s="1"/>
    </row>
    <row r="65" spans="1:30">
      <c r="A65" s="1" t="s">
        <v>87</v>
      </c>
      <c r="B65" s="1" t="s">
        <v>60</v>
      </c>
      <c r="C65" s="1" t="s">
        <v>29</v>
      </c>
      <c r="D65" s="1" t="s">
        <v>29</v>
      </c>
      <c r="E65" s="1"/>
      <c r="F65" s="1"/>
      <c r="G65" s="1"/>
      <c r="H65" s="1">
        <v>115779.231530898</v>
      </c>
      <c r="I65" s="1">
        <v>120324.174815662</v>
      </c>
      <c r="J65" s="1">
        <v>128656.148245586</v>
      </c>
      <c r="K65" s="1">
        <v>127610.909827626</v>
      </c>
      <c r="L65" s="1">
        <v>153583.17103155499</v>
      </c>
      <c r="M65" s="1">
        <v>157960.12512542401</v>
      </c>
      <c r="N65" s="1">
        <v>154815.039880717</v>
      </c>
      <c r="O65" s="1">
        <v>166131.49442</v>
      </c>
      <c r="P65" s="1">
        <v>244113.02218</v>
      </c>
      <c r="Q65" s="1">
        <v>207201.07169000001</v>
      </c>
      <c r="R65" s="1">
        <v>234453.59497000001</v>
      </c>
      <c r="S65" s="1">
        <v>237440.02721</v>
      </c>
      <c r="T65" s="1">
        <v>249780.27630999999</v>
      </c>
      <c r="U65" s="1">
        <v>260019.03117</v>
      </c>
      <c r="V65" s="1">
        <v>257905.68445999999</v>
      </c>
      <c r="W65" s="1">
        <v>263907.83471000002</v>
      </c>
      <c r="X65" s="1">
        <v>275718.74416</v>
      </c>
      <c r="Y65" s="1">
        <v>269000.80012999999</v>
      </c>
      <c r="Z65" s="1">
        <v>292037.36945</v>
      </c>
      <c r="AA65" s="1">
        <v>324436.08</v>
      </c>
      <c r="AB65" s="1">
        <v>316214.44</v>
      </c>
      <c r="AC65" s="1">
        <v>328150.96999999997</v>
      </c>
      <c r="AD65" s="1">
        <v>267698.68</v>
      </c>
    </row>
    <row r="66" spans="1:30">
      <c r="A66" s="1" t="s">
        <v>87</v>
      </c>
      <c r="B66" s="1" t="s">
        <v>74</v>
      </c>
      <c r="C66" s="1" t="s">
        <v>37</v>
      </c>
      <c r="D66" s="1" t="s">
        <v>37</v>
      </c>
      <c r="E66" s="1">
        <v>3020.2062627220998</v>
      </c>
      <c r="F66" s="1">
        <v>3103.3615800912398</v>
      </c>
      <c r="G66" s="1">
        <v>3184.17518307103</v>
      </c>
      <c r="H66" s="1">
        <v>3614.7663233511998</v>
      </c>
      <c r="I66" s="1">
        <v>4383.1032357144404</v>
      </c>
      <c r="J66" s="1">
        <v>4818.7450198287297</v>
      </c>
      <c r="K66" s="1">
        <v>8809.7065370019609</v>
      </c>
      <c r="L66" s="1">
        <v>9239.9707238174597</v>
      </c>
      <c r="M66" s="1">
        <v>9035.9382801885295</v>
      </c>
      <c r="N66" s="1">
        <v>9541.9310341302607</v>
      </c>
      <c r="O66" s="1">
        <v>10965.37664</v>
      </c>
      <c r="P66" s="1">
        <v>15382.386189999999</v>
      </c>
      <c r="Q66" s="1">
        <v>18720.095570000001</v>
      </c>
      <c r="R66" s="1">
        <v>19229.505880000001</v>
      </c>
      <c r="S66" s="1">
        <v>14910.2392</v>
      </c>
      <c r="T66" s="1">
        <v>7880.9197000000004</v>
      </c>
      <c r="U66" s="1">
        <v>7141.7824000000001</v>
      </c>
      <c r="V66" s="1">
        <v>8795.4008200000007</v>
      </c>
      <c r="W66" s="1">
        <v>17736.510200000001</v>
      </c>
      <c r="X66" s="1">
        <v>25638.775430000002</v>
      </c>
      <c r="Y66" s="1">
        <v>37223.04578</v>
      </c>
      <c r="Z66" s="1">
        <v>59643.398589999997</v>
      </c>
      <c r="AA66" s="1">
        <v>70128.497329999998</v>
      </c>
      <c r="AB66" s="1">
        <v>58497.317450000002</v>
      </c>
      <c r="AC66" s="1">
        <v>55123.116029999997</v>
      </c>
      <c r="AD66" s="1"/>
    </row>
    <row r="67" spans="1:30">
      <c r="A67" s="1" t="s">
        <v>87</v>
      </c>
      <c r="B67" s="1" t="s">
        <v>68</v>
      </c>
      <c r="C67" s="1" t="s">
        <v>25</v>
      </c>
      <c r="D67" s="1" t="s">
        <v>25</v>
      </c>
      <c r="E67" s="1">
        <v>35203.607943686002</v>
      </c>
      <c r="F67" s="1">
        <v>33911.202426960503</v>
      </c>
      <c r="G67" s="1">
        <v>37927.895462120301</v>
      </c>
      <c r="H67" s="1">
        <v>41102.0211904713</v>
      </c>
      <c r="I67" s="1">
        <v>42271.569567609098</v>
      </c>
      <c r="J67" s="1">
        <v>55563.064278571503</v>
      </c>
      <c r="K67" s="1">
        <v>51455.886396103298</v>
      </c>
      <c r="L67" s="1">
        <v>57892.453122180203</v>
      </c>
      <c r="M67" s="1">
        <v>66609.746096051007</v>
      </c>
      <c r="N67" s="1">
        <v>67112.634464247501</v>
      </c>
      <c r="O67" s="1">
        <v>74947.785820000005</v>
      </c>
      <c r="P67" s="1">
        <v>91457.942980000007</v>
      </c>
      <c r="Q67" s="1">
        <v>91807.10656</v>
      </c>
      <c r="R67" s="1">
        <v>91706.846909999993</v>
      </c>
      <c r="S67" s="1">
        <v>91123.191439999995</v>
      </c>
      <c r="T67" s="1">
        <v>84548.668420000002</v>
      </c>
      <c r="U67" s="1">
        <v>84859.056700000001</v>
      </c>
      <c r="V67" s="1">
        <v>92462.023700000005</v>
      </c>
      <c r="W67" s="1">
        <v>97980.972380000007</v>
      </c>
      <c r="X67" s="1">
        <v>100100.72775999999</v>
      </c>
      <c r="Y67" s="1">
        <v>88918.21974</v>
      </c>
      <c r="Z67" s="1">
        <v>105442.20553000001</v>
      </c>
      <c r="AA67" s="1">
        <v>119455.93593000001</v>
      </c>
      <c r="AB67" s="1">
        <v>128461.84</v>
      </c>
      <c r="AC67" s="1">
        <v>134831.74</v>
      </c>
      <c r="AD67" s="1">
        <v>127289.45</v>
      </c>
    </row>
    <row r="68" spans="1:30">
      <c r="A68" s="1" t="s">
        <v>87</v>
      </c>
      <c r="B68" s="1" t="s">
        <v>79</v>
      </c>
      <c r="C68" s="1" t="s">
        <v>92</v>
      </c>
      <c r="D68" s="1" t="s">
        <v>14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>
        <v>5216.3</v>
      </c>
      <c r="AB68" s="1">
        <v>6247.38</v>
      </c>
      <c r="AC68" s="1">
        <v>6397.97</v>
      </c>
      <c r="AD68" s="1"/>
    </row>
    <row r="69" spans="1:30">
      <c r="A69" s="1" t="s">
        <v>87</v>
      </c>
      <c r="B69" s="1" t="s">
        <v>73</v>
      </c>
      <c r="C69" s="1" t="s">
        <v>35</v>
      </c>
      <c r="D69" s="1" t="s">
        <v>35</v>
      </c>
      <c r="E69" s="1">
        <v>20078.8561272232</v>
      </c>
      <c r="F69" s="1">
        <v>19696.223757853601</v>
      </c>
      <c r="G69" s="1">
        <v>19091.4624027711</v>
      </c>
      <c r="H69" s="1">
        <v>19498.864807719001</v>
      </c>
      <c r="I69" s="1">
        <v>32039.3119398325</v>
      </c>
      <c r="J69" s="1">
        <v>37357.709238412397</v>
      </c>
      <c r="K69" s="1">
        <v>38875.315238532799</v>
      </c>
      <c r="L69" s="1">
        <v>49716.894797176203</v>
      </c>
      <c r="M69" s="1">
        <v>44586.759170705198</v>
      </c>
      <c r="N69" s="1">
        <v>38940.122699138898</v>
      </c>
      <c r="O69" s="1">
        <v>58537.974999999999</v>
      </c>
      <c r="P69" s="1">
        <v>52855.571499999998</v>
      </c>
      <c r="Q69" s="1">
        <v>51218.349499999997</v>
      </c>
      <c r="R69" s="1">
        <v>52363.205399999999</v>
      </c>
      <c r="S69" s="1">
        <v>60314.078800000003</v>
      </c>
      <c r="T69" s="1">
        <v>54053.188499999997</v>
      </c>
      <c r="U69" s="1">
        <v>35861.160000000003</v>
      </c>
      <c r="V69" s="1">
        <v>31475.01</v>
      </c>
      <c r="W69" s="1">
        <v>32261.5</v>
      </c>
      <c r="X69" s="1">
        <v>31671.47</v>
      </c>
      <c r="Y69" s="1">
        <v>31936.54</v>
      </c>
      <c r="Z69" s="1">
        <v>35722.050000000003</v>
      </c>
      <c r="AA69" s="1">
        <v>49176.72</v>
      </c>
      <c r="AB69" s="1">
        <v>48785.62</v>
      </c>
      <c r="AC69" s="1">
        <v>49903.7</v>
      </c>
      <c r="AD69" s="1"/>
    </row>
    <row r="70" spans="1:30">
      <c r="A70" s="1" t="s">
        <v>87</v>
      </c>
      <c r="B70" s="1" t="s">
        <v>58</v>
      </c>
      <c r="C70" s="1" t="s">
        <v>40</v>
      </c>
      <c r="D70" s="1" t="s">
        <v>40</v>
      </c>
      <c r="E70" s="1">
        <v>34231.6274330495</v>
      </c>
      <c r="F70" s="1">
        <v>34146.461403627698</v>
      </c>
      <c r="G70" s="1">
        <v>35268.8028253464</v>
      </c>
      <c r="H70" s="1">
        <v>39248.7805279772</v>
      </c>
      <c r="I70" s="1">
        <v>44821.637545016201</v>
      </c>
      <c r="J70" s="1">
        <v>41426.0470987187</v>
      </c>
      <c r="K70" s="1">
        <v>52423.004411271701</v>
      </c>
      <c r="L70" s="1">
        <v>50406.6465315885</v>
      </c>
      <c r="M70" s="1">
        <v>54324.5352316028</v>
      </c>
      <c r="N70" s="1">
        <v>48176.639774055599</v>
      </c>
      <c r="O70" s="1">
        <v>56902.826509999999</v>
      </c>
      <c r="P70" s="1">
        <v>69140.276740000001</v>
      </c>
      <c r="Q70" s="1">
        <v>74861.100399999996</v>
      </c>
      <c r="R70" s="1">
        <v>85500.813989999995</v>
      </c>
      <c r="S70" s="1">
        <v>93579.506160000004</v>
      </c>
      <c r="T70" s="1">
        <v>91237.103090000004</v>
      </c>
      <c r="U70" s="1">
        <v>90043.732789999995</v>
      </c>
      <c r="V70" s="1">
        <v>115180.7142</v>
      </c>
      <c r="W70" s="1">
        <v>128760.36953</v>
      </c>
      <c r="X70" s="1">
        <v>105887.33301</v>
      </c>
      <c r="Y70" s="1">
        <v>91964.278649999993</v>
      </c>
      <c r="Z70" s="1">
        <v>98675.655150000006</v>
      </c>
      <c r="AA70" s="1">
        <v>137914.62</v>
      </c>
      <c r="AB70" s="1">
        <v>133754.20000000001</v>
      </c>
      <c r="AC70" s="1">
        <v>124021.01</v>
      </c>
      <c r="AD70" s="1"/>
    </row>
    <row r="71" spans="1:30">
      <c r="A71" s="1" t="s">
        <v>87</v>
      </c>
      <c r="B71" s="1" t="s">
        <v>78</v>
      </c>
      <c r="C71" s="1" t="s">
        <v>91</v>
      </c>
      <c r="D71" s="1" t="s">
        <v>33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>
        <v>1360.32</v>
      </c>
      <c r="AC71" s="1">
        <v>1294.55</v>
      </c>
      <c r="AD71" s="1">
        <v>555.32000000000005</v>
      </c>
    </row>
    <row r="72" spans="1:30">
      <c r="A72" s="1" t="s">
        <v>87</v>
      </c>
      <c r="B72" s="1" t="s">
        <v>61</v>
      </c>
      <c r="C72" s="1" t="s">
        <v>21</v>
      </c>
      <c r="D72" s="1" t="s">
        <v>21</v>
      </c>
      <c r="E72" s="1">
        <v>183165.50163079999</v>
      </c>
      <c r="F72" s="1">
        <v>202234.98991031101</v>
      </c>
      <c r="G72" s="1">
        <v>290497.99271401798</v>
      </c>
      <c r="H72" s="1">
        <v>303665.71342862101</v>
      </c>
      <c r="I72" s="1">
        <v>314393.741719254</v>
      </c>
      <c r="J72" s="1">
        <v>325579.77591733699</v>
      </c>
      <c r="K72" s="1">
        <v>309041.84325750102</v>
      </c>
      <c r="L72" s="1">
        <v>297457.91955491999</v>
      </c>
      <c r="M72" s="1">
        <v>269030.58229384403</v>
      </c>
      <c r="N72" s="1">
        <v>281800.18393779203</v>
      </c>
      <c r="O72" s="1">
        <v>316311.70355999999</v>
      </c>
      <c r="P72" s="1">
        <v>380679.94754000002</v>
      </c>
      <c r="Q72" s="1">
        <v>423333.82487000001</v>
      </c>
      <c r="R72" s="1">
        <v>379154.22499000002</v>
      </c>
      <c r="S72" s="1">
        <v>400530.83648</v>
      </c>
      <c r="T72" s="1">
        <v>423152.22229000001</v>
      </c>
      <c r="U72" s="1">
        <v>435541.82082000002</v>
      </c>
      <c r="V72" s="1">
        <v>493916.57744000002</v>
      </c>
      <c r="W72" s="1">
        <v>550805.25055999996</v>
      </c>
      <c r="X72" s="1">
        <v>591685.34236999997</v>
      </c>
      <c r="Y72" s="1">
        <v>558716.78471000004</v>
      </c>
      <c r="Z72" s="1">
        <v>681316.21097000001</v>
      </c>
      <c r="AA72" s="1">
        <v>756452.61607999995</v>
      </c>
      <c r="AB72" s="1">
        <v>850488.05064999999</v>
      </c>
      <c r="AC72" s="1">
        <v>953340.82152</v>
      </c>
      <c r="AD72" s="1"/>
    </row>
    <row r="73" spans="1:30">
      <c r="A73" s="1" t="s">
        <v>87</v>
      </c>
      <c r="B73" s="1" t="s">
        <v>64</v>
      </c>
      <c r="C73" s="1" t="s">
        <v>24</v>
      </c>
      <c r="D73" s="1" t="s">
        <v>24</v>
      </c>
      <c r="E73" s="1">
        <v>9210.6129115654403</v>
      </c>
      <c r="F73" s="1">
        <v>9385.0231330565493</v>
      </c>
      <c r="G73" s="1">
        <v>8495.8595369794493</v>
      </c>
      <c r="H73" s="1">
        <v>8798.5834682521509</v>
      </c>
      <c r="I73" s="1">
        <v>8830.5586675407503</v>
      </c>
      <c r="J73" s="1">
        <v>9382.3889481182305</v>
      </c>
      <c r="K73" s="1">
        <v>10832.2051896249</v>
      </c>
      <c r="L73" s="1">
        <v>10657.6673514828</v>
      </c>
      <c r="M73" s="1">
        <v>11452.950030742701</v>
      </c>
      <c r="N73" s="1">
        <v>10708.726863370901</v>
      </c>
      <c r="O73" s="1">
        <v>11531.07195</v>
      </c>
      <c r="P73" s="1">
        <v>19992.97681</v>
      </c>
      <c r="Q73" s="1">
        <v>16077.19881</v>
      </c>
      <c r="R73" s="1">
        <v>18475.303090000001</v>
      </c>
      <c r="S73" s="1">
        <v>9882.0681499999992</v>
      </c>
      <c r="T73" s="1">
        <v>9501.4304400000001</v>
      </c>
      <c r="U73" s="1">
        <v>10797.309160000001</v>
      </c>
      <c r="V73" s="1">
        <v>14336.101430000001</v>
      </c>
      <c r="W73" s="1">
        <v>17152.376400000001</v>
      </c>
      <c r="X73" s="1">
        <v>19122.57646</v>
      </c>
      <c r="Y73" s="1">
        <v>20605.586920000002</v>
      </c>
      <c r="Z73" s="1">
        <v>25287.066159999998</v>
      </c>
      <c r="AA73" s="1">
        <v>34492.54</v>
      </c>
      <c r="AB73" s="1">
        <v>26132.97</v>
      </c>
      <c r="AC73" s="1">
        <v>33307.19</v>
      </c>
      <c r="AD73" s="1"/>
    </row>
    <row r="74" spans="1:30">
      <c r="A74" s="1" t="s">
        <v>87</v>
      </c>
      <c r="B74" s="1" t="s">
        <v>65</v>
      </c>
      <c r="C74" s="1" t="s">
        <v>31</v>
      </c>
      <c r="D74" s="1" t="s">
        <v>31</v>
      </c>
      <c r="E74" s="1">
        <v>27536.293522625499</v>
      </c>
      <c r="F74" s="1">
        <v>30570.022808612899</v>
      </c>
      <c r="G74" s="1">
        <v>32475.5434863228</v>
      </c>
      <c r="H74" s="1">
        <v>29550.7363431616</v>
      </c>
      <c r="I74" s="1">
        <v>31133.598535277299</v>
      </c>
      <c r="J74" s="1">
        <v>30103.184466806098</v>
      </c>
      <c r="K74" s="1">
        <v>27646.231964447299</v>
      </c>
      <c r="L74" s="1">
        <v>27306.308887649</v>
      </c>
      <c r="M74" s="1">
        <v>24705.730118646799</v>
      </c>
      <c r="N74" s="1">
        <v>29402.985229697999</v>
      </c>
      <c r="O74" s="1">
        <v>32859.298009999999</v>
      </c>
      <c r="P74" s="1">
        <v>25912.10655</v>
      </c>
      <c r="Q74" s="1">
        <v>17349.74466</v>
      </c>
      <c r="R74" s="1">
        <v>15088.56934</v>
      </c>
      <c r="S74" s="1">
        <v>11455.384760000001</v>
      </c>
      <c r="T74" s="1">
        <v>23089.000459999999</v>
      </c>
      <c r="U74" s="1">
        <v>26167.99872</v>
      </c>
      <c r="V74" s="1">
        <v>24100.240389999999</v>
      </c>
      <c r="W74" s="1">
        <v>19620.680400000001</v>
      </c>
      <c r="X74" s="1">
        <v>23536.14443</v>
      </c>
      <c r="Y74" s="1">
        <v>25504.197609999999</v>
      </c>
      <c r="Z74" s="1">
        <v>28073.111219999999</v>
      </c>
      <c r="AA74" s="1">
        <v>40832.865030000001</v>
      </c>
      <c r="AB74" s="1">
        <v>36425.221019999997</v>
      </c>
      <c r="AC74" s="1">
        <v>38526.69</v>
      </c>
      <c r="AD74" s="1">
        <v>34357.120000000003</v>
      </c>
    </row>
    <row r="75" spans="1:30">
      <c r="A75" s="1" t="s">
        <v>87</v>
      </c>
      <c r="B75" s="1" t="s">
        <v>77</v>
      </c>
      <c r="C75" s="1" t="s">
        <v>33</v>
      </c>
      <c r="D75" s="1" t="s">
        <v>33</v>
      </c>
      <c r="E75" s="1"/>
      <c r="F75" s="1"/>
      <c r="G75" s="1">
        <v>16685.047426785299</v>
      </c>
      <c r="H75" s="1">
        <v>16598.4806729023</v>
      </c>
      <c r="I75" s="1">
        <v>15862.0502505818</v>
      </c>
      <c r="J75" s="1">
        <v>19525.481264345501</v>
      </c>
      <c r="K75" s="1">
        <v>21680.559584572398</v>
      </c>
      <c r="L75" s="1">
        <v>21718.530473476101</v>
      </c>
      <c r="M75" s="1">
        <v>20201.975478466898</v>
      </c>
      <c r="N75" s="1">
        <v>17709.774635053102</v>
      </c>
      <c r="O75" s="1">
        <v>31529.453699999998</v>
      </c>
      <c r="P75" s="1">
        <v>24562.90077</v>
      </c>
      <c r="Q75" s="1">
        <v>30602.477500000001</v>
      </c>
      <c r="R75" s="1">
        <v>30182.3547</v>
      </c>
      <c r="S75" s="1">
        <v>35334.415029999996</v>
      </c>
      <c r="T75" s="1">
        <v>40438.385929999997</v>
      </c>
      <c r="U75" s="1">
        <v>39446.298419999999</v>
      </c>
      <c r="V75" s="1">
        <v>42688.116909999997</v>
      </c>
      <c r="W75" s="1">
        <v>49488.553879999999</v>
      </c>
      <c r="X75" s="1">
        <v>47314.461609999998</v>
      </c>
      <c r="Y75" s="1">
        <v>45934.783009999999</v>
      </c>
      <c r="Z75" s="1">
        <v>41019.720930000003</v>
      </c>
      <c r="AA75" s="1">
        <v>54213.34</v>
      </c>
      <c r="AB75" s="1">
        <v>42010.89</v>
      </c>
      <c r="AC75" s="1">
        <v>48774.06</v>
      </c>
      <c r="AD75" s="1"/>
    </row>
    <row r="76" spans="1:30">
      <c r="A76" s="1" t="s">
        <v>87</v>
      </c>
      <c r="B76" s="1" t="s">
        <v>75</v>
      </c>
      <c r="C76" s="1" t="s">
        <v>34</v>
      </c>
      <c r="D76" s="1" t="s">
        <v>34</v>
      </c>
      <c r="E76" s="1"/>
      <c r="F76" s="1"/>
      <c r="G76" s="1"/>
      <c r="H76" s="1"/>
      <c r="I76" s="1">
        <v>4765.8996872276603</v>
      </c>
      <c r="J76" s="1">
        <v>5011.6542432268197</v>
      </c>
      <c r="K76" s="1">
        <v>5344.2541294258099</v>
      </c>
      <c r="L76" s="1">
        <v>5948.28173012759</v>
      </c>
      <c r="M76" s="1">
        <v>6966.18555856683</v>
      </c>
      <c r="N76" s="1">
        <v>7980.31651001707</v>
      </c>
      <c r="O76" s="1">
        <v>9422.2477500000005</v>
      </c>
      <c r="P76" s="1">
        <v>11066.66534</v>
      </c>
      <c r="Q76" s="1">
        <v>12400.48041</v>
      </c>
      <c r="R76" s="1">
        <v>12055.16806</v>
      </c>
      <c r="S76" s="1">
        <v>12379.13667</v>
      </c>
      <c r="T76" s="1">
        <v>13333.211439999999</v>
      </c>
      <c r="U76" s="1">
        <v>13594.55847</v>
      </c>
      <c r="V76" s="1">
        <v>13663.5545</v>
      </c>
      <c r="W76" s="1">
        <v>14816.32559</v>
      </c>
      <c r="X76" s="1">
        <v>15513.337090000001</v>
      </c>
      <c r="Y76" s="1">
        <v>14480.49244</v>
      </c>
      <c r="Z76" s="1">
        <v>14668.5852</v>
      </c>
      <c r="AA76" s="1">
        <v>14218.98257</v>
      </c>
      <c r="AB76" s="1">
        <v>14710.169519999999</v>
      </c>
      <c r="AC76" s="1">
        <v>15175</v>
      </c>
      <c r="AD76" s="1"/>
    </row>
    <row r="77" spans="1:30">
      <c r="A77" s="1" t="s">
        <v>87</v>
      </c>
      <c r="B77" s="1" t="s">
        <v>57</v>
      </c>
      <c r="C77" s="1" t="s">
        <v>39</v>
      </c>
      <c r="D77" s="1" t="s">
        <v>39</v>
      </c>
      <c r="E77" s="1">
        <v>14680.4106507628</v>
      </c>
      <c r="F77" s="1">
        <v>15000.7398292941</v>
      </c>
      <c r="G77" s="1">
        <v>17739.3275622375</v>
      </c>
      <c r="H77" s="1">
        <v>20748.063654057602</v>
      </c>
      <c r="I77" s="1">
        <v>26849.193283453998</v>
      </c>
      <c r="J77" s="1">
        <v>32540.887588301499</v>
      </c>
      <c r="K77" s="1">
        <v>38468.563569876402</v>
      </c>
      <c r="L77" s="1">
        <v>49587.428895006298</v>
      </c>
      <c r="M77" s="1">
        <v>60625.807080385101</v>
      </c>
      <c r="N77" s="1">
        <v>61706.852329306697</v>
      </c>
      <c r="O77" s="1">
        <v>72018.538440000004</v>
      </c>
      <c r="P77" s="1">
        <v>81016.293350000007</v>
      </c>
      <c r="Q77" s="1">
        <v>132872.01394</v>
      </c>
      <c r="R77" s="1">
        <v>58747.115830000002</v>
      </c>
      <c r="S77" s="1">
        <v>98028.052760000006</v>
      </c>
      <c r="T77" s="1">
        <v>91332.178780000002</v>
      </c>
      <c r="U77" s="1">
        <v>92501.782370000001</v>
      </c>
      <c r="V77" s="1">
        <v>99153.079469999997</v>
      </c>
      <c r="W77" s="1">
        <v>104226.87239</v>
      </c>
      <c r="X77" s="1">
        <v>106852.60068</v>
      </c>
      <c r="Y77" s="1">
        <v>88163.433720000001</v>
      </c>
      <c r="Z77" s="1">
        <v>92692.873080000005</v>
      </c>
      <c r="AA77" s="1">
        <v>98839.35</v>
      </c>
      <c r="AB77" s="1">
        <v>106870.42</v>
      </c>
      <c r="AC77" s="1">
        <v>122494.07</v>
      </c>
      <c r="AD77" s="1"/>
    </row>
    <row r="78" spans="1:30">
      <c r="A78" s="1" t="s">
        <v>89</v>
      </c>
      <c r="B78" s="1" t="s">
        <v>3</v>
      </c>
      <c r="C78" s="1" t="s">
        <v>3</v>
      </c>
      <c r="D78" s="1" t="s">
        <v>3</v>
      </c>
      <c r="E78" s="1">
        <v>9862.5385010689606</v>
      </c>
      <c r="F78" s="1">
        <v>12692.9510538349</v>
      </c>
      <c r="G78" s="1">
        <v>22373.815373947698</v>
      </c>
      <c r="H78" s="1">
        <v>14328.230862861499</v>
      </c>
      <c r="I78" s="1">
        <v>14641.3561191272</v>
      </c>
      <c r="J78" s="1">
        <v>27776.414573158701</v>
      </c>
      <c r="K78" s="1">
        <v>26035.113247051901</v>
      </c>
      <c r="L78" s="1">
        <v>28495.075493989701</v>
      </c>
      <c r="M78" s="1">
        <v>29222.293439018598</v>
      </c>
      <c r="N78" s="1">
        <v>28706.8847583713</v>
      </c>
      <c r="O78" s="1">
        <v>29766.57404</v>
      </c>
      <c r="P78" s="1">
        <v>32980.775860000002</v>
      </c>
      <c r="Q78" s="1">
        <v>34901.818789999998</v>
      </c>
      <c r="R78" s="1">
        <v>34736.027049999997</v>
      </c>
      <c r="S78" s="1">
        <v>36571.542849999998</v>
      </c>
      <c r="T78" s="1">
        <v>37892.086049999998</v>
      </c>
      <c r="U78" s="1">
        <v>40598.054960000001</v>
      </c>
      <c r="V78" s="1">
        <v>39421.958400000003</v>
      </c>
      <c r="W78" s="1">
        <v>40769.450859999997</v>
      </c>
      <c r="X78" s="1">
        <v>43513.913809999998</v>
      </c>
      <c r="Y78" s="1">
        <v>45045.624539999997</v>
      </c>
      <c r="Z78" s="1">
        <v>45438.247730000003</v>
      </c>
      <c r="AA78" s="1">
        <v>45103.70448</v>
      </c>
      <c r="AB78" s="1">
        <v>47746.94</v>
      </c>
      <c r="AC78" s="1">
        <v>49982.89</v>
      </c>
      <c r="AD78" s="1">
        <v>49237.05</v>
      </c>
    </row>
    <row r="79" spans="1:30">
      <c r="A79" s="1" t="s">
        <v>89</v>
      </c>
      <c r="B79" s="1" t="s">
        <v>11</v>
      </c>
      <c r="C79" s="1" t="s">
        <v>11</v>
      </c>
      <c r="D79" s="1" t="s">
        <v>11</v>
      </c>
      <c r="E79" s="1">
        <v>9875.9021776729896</v>
      </c>
      <c r="F79" s="1">
        <v>9813.0488313711903</v>
      </c>
      <c r="G79" s="1">
        <v>10041.7212863152</v>
      </c>
      <c r="H79" s="1">
        <v>10170.889299185301</v>
      </c>
      <c r="I79" s="1">
        <v>10895.3347715983</v>
      </c>
      <c r="J79" s="1">
        <v>11190.4819308653</v>
      </c>
      <c r="K79" s="1">
        <v>11411.081883888</v>
      </c>
      <c r="L79" s="1">
        <v>18751.317623546802</v>
      </c>
      <c r="M79" s="1">
        <v>23093.9317820205</v>
      </c>
      <c r="N79" s="1">
        <v>24925.2705602977</v>
      </c>
      <c r="O79" s="1">
        <v>29142.200550000001</v>
      </c>
      <c r="P79" s="1">
        <v>33290.009359999996</v>
      </c>
      <c r="Q79" s="1">
        <v>36322.55431</v>
      </c>
      <c r="R79" s="1">
        <v>38111.98343</v>
      </c>
      <c r="S79" s="1">
        <v>38800.142699999997</v>
      </c>
      <c r="T79" s="1">
        <v>41397.443599999999</v>
      </c>
      <c r="U79" s="1">
        <v>45030.742200000001</v>
      </c>
      <c r="V79" s="1">
        <v>46623.26773</v>
      </c>
      <c r="W79" s="1">
        <v>51076.076549999998</v>
      </c>
      <c r="X79" s="1">
        <v>52755.130259999998</v>
      </c>
      <c r="Y79" s="1">
        <v>46598.906499999997</v>
      </c>
      <c r="Z79" s="1">
        <v>44547.839449999999</v>
      </c>
      <c r="AA79" s="1">
        <v>45712.962809999997</v>
      </c>
      <c r="AB79" s="1">
        <v>47091.11</v>
      </c>
      <c r="AC79" s="1">
        <v>49708.02</v>
      </c>
      <c r="AD79" s="1">
        <v>52704.12</v>
      </c>
    </row>
    <row r="80" spans="1:30">
      <c r="A80" s="1" t="s">
        <v>89</v>
      </c>
      <c r="B80" s="1" t="s">
        <v>59</v>
      </c>
      <c r="C80" s="1" t="s">
        <v>28</v>
      </c>
      <c r="D80" s="1" t="s">
        <v>28</v>
      </c>
      <c r="E80" s="1">
        <v>2700.3037026334</v>
      </c>
      <c r="F80" s="1">
        <v>3045.8727583124701</v>
      </c>
      <c r="G80" s="1">
        <v>3035.56798776302</v>
      </c>
      <c r="H80" s="1">
        <v>3709.75128186756</v>
      </c>
      <c r="I80" s="1">
        <v>5460.1553747329599</v>
      </c>
      <c r="J80" s="1">
        <v>5801.4512227241903</v>
      </c>
      <c r="K80" s="1">
        <v>5331.4282747656198</v>
      </c>
      <c r="L80" s="1">
        <v>6188.6976781706999</v>
      </c>
      <c r="M80" s="1">
        <v>6899.4419921461003</v>
      </c>
      <c r="N80" s="1">
        <v>7141.4457703585504</v>
      </c>
      <c r="O80" s="1">
        <v>7515.7222599999996</v>
      </c>
      <c r="P80" s="1">
        <v>8147.1339799999996</v>
      </c>
      <c r="Q80" s="1">
        <v>8550.06185</v>
      </c>
      <c r="R80" s="1">
        <v>8970.0596000000005</v>
      </c>
      <c r="S80" s="1">
        <v>9408.0275099999999</v>
      </c>
      <c r="T80" s="1">
        <v>9823.5325699999994</v>
      </c>
      <c r="U80" s="1">
        <v>10450.944740000001</v>
      </c>
      <c r="V80" s="1">
        <v>11111.340190000001</v>
      </c>
      <c r="W80" s="1">
        <v>11779.865400000001</v>
      </c>
      <c r="X80" s="1">
        <v>12453.338159999999</v>
      </c>
      <c r="Y80" s="1">
        <v>11633.48403</v>
      </c>
      <c r="Z80" s="1">
        <v>12013.6361</v>
      </c>
      <c r="AA80" s="1">
        <v>12412.52838</v>
      </c>
      <c r="AB80" s="1">
        <v>13018.46</v>
      </c>
      <c r="AC80" s="1">
        <v>12916.29</v>
      </c>
      <c r="AD80" s="1">
        <v>12871.75</v>
      </c>
    </row>
    <row r="81" spans="1:30">
      <c r="A81" s="1" t="s">
        <v>89</v>
      </c>
      <c r="B81" s="1" t="s">
        <v>10</v>
      </c>
      <c r="C81" s="1" t="s">
        <v>10</v>
      </c>
      <c r="D81" s="1" t="s">
        <v>10</v>
      </c>
      <c r="E81" s="1">
        <v>49834.592184696703</v>
      </c>
      <c r="F81" s="1">
        <v>53816.101618979097</v>
      </c>
      <c r="G81" s="1">
        <v>57240.648583719303</v>
      </c>
      <c r="H81" s="1">
        <v>61387.987581177498</v>
      </c>
      <c r="I81" s="1">
        <v>67895.276171372301</v>
      </c>
      <c r="J81" s="1">
        <v>73816.3697419214</v>
      </c>
      <c r="K81" s="1">
        <v>79006.749774408498</v>
      </c>
      <c r="L81" s="1">
        <v>64597.023562284201</v>
      </c>
      <c r="M81" s="1">
        <v>72363.076021906105</v>
      </c>
      <c r="N81" s="1">
        <v>75786.709139983097</v>
      </c>
      <c r="O81" s="1">
        <v>81506.593850000005</v>
      </c>
      <c r="P81" s="1">
        <v>88786.939679999996</v>
      </c>
      <c r="Q81" s="1">
        <v>96635.330889999997</v>
      </c>
      <c r="R81" s="1">
        <v>100195.81818</v>
      </c>
      <c r="S81" s="1">
        <v>103115.30697000001</v>
      </c>
      <c r="T81" s="1">
        <v>109012.80726</v>
      </c>
      <c r="U81" s="1">
        <v>115877.26351999999</v>
      </c>
      <c r="V81" s="1">
        <v>126304.23989</v>
      </c>
      <c r="W81" s="1">
        <v>135048.99596999999</v>
      </c>
      <c r="X81" s="1">
        <v>143667.51204</v>
      </c>
      <c r="Y81" s="1">
        <v>143572.82973999999</v>
      </c>
      <c r="Z81" s="1">
        <v>149908.84622000001</v>
      </c>
      <c r="AA81" s="1">
        <v>155430.58543000001</v>
      </c>
      <c r="AB81" s="1">
        <v>160769.54999999999</v>
      </c>
      <c r="AC81" s="1">
        <v>164999.07</v>
      </c>
      <c r="AD81" s="1">
        <v>173496.76</v>
      </c>
    </row>
    <row r="82" spans="1:30">
      <c r="A82" s="1" t="s">
        <v>89</v>
      </c>
      <c r="B82" s="1" t="s">
        <v>6</v>
      </c>
      <c r="C82" s="1" t="s">
        <v>6</v>
      </c>
      <c r="D82" s="1" t="s">
        <v>6</v>
      </c>
      <c r="E82" s="1">
        <v>5064.7565795371802</v>
      </c>
      <c r="F82" s="1">
        <v>5189.0037315886702</v>
      </c>
      <c r="G82" s="1">
        <v>5401.8964478922899</v>
      </c>
      <c r="H82" s="1">
        <v>5617.7067086570396</v>
      </c>
      <c r="I82" s="1">
        <v>5981.04159904892</v>
      </c>
      <c r="J82" s="1">
        <v>6675.2536977026302</v>
      </c>
      <c r="K82" s="1">
        <v>7086.1244418146198</v>
      </c>
      <c r="L82" s="1">
        <v>9524.1010533192402</v>
      </c>
      <c r="M82" s="1">
        <v>10401.2708560556</v>
      </c>
      <c r="N82" s="1">
        <v>10934.940417755301</v>
      </c>
      <c r="O82" s="1">
        <v>11578.47741</v>
      </c>
      <c r="P82" s="1">
        <v>12596.43662</v>
      </c>
      <c r="Q82" s="1">
        <v>13674.62976</v>
      </c>
      <c r="R82" s="1">
        <v>14819.65244</v>
      </c>
      <c r="S82" s="1">
        <v>16014.02773</v>
      </c>
      <c r="T82" s="1">
        <v>16572.90382</v>
      </c>
      <c r="U82" s="1">
        <v>17404.345219999999</v>
      </c>
      <c r="V82" s="1">
        <v>18463.146570000001</v>
      </c>
      <c r="W82" s="1">
        <v>19497.27205</v>
      </c>
      <c r="X82" s="1">
        <v>20471.499090000001</v>
      </c>
      <c r="Y82" s="1">
        <v>20134.107400000001</v>
      </c>
      <c r="Z82" s="1">
        <v>20964.696639999998</v>
      </c>
      <c r="AA82" s="1">
        <v>21695.68564</v>
      </c>
      <c r="AB82" s="1">
        <v>22383.1</v>
      </c>
      <c r="AC82" s="1">
        <v>23024.5</v>
      </c>
      <c r="AD82" s="1">
        <v>23827.83</v>
      </c>
    </row>
    <row r="83" spans="1:30">
      <c r="A83" s="1" t="s">
        <v>89</v>
      </c>
      <c r="B83" s="1" t="s">
        <v>62</v>
      </c>
      <c r="C83" s="1" t="s">
        <v>22</v>
      </c>
      <c r="D83" s="1" t="s">
        <v>22</v>
      </c>
      <c r="E83" s="1">
        <v>98899.753776921207</v>
      </c>
      <c r="F83" s="1">
        <v>87537.341745742699</v>
      </c>
      <c r="G83" s="1">
        <v>90772.435895921502</v>
      </c>
      <c r="H83" s="1">
        <v>97419.271986810796</v>
      </c>
      <c r="I83" s="1">
        <v>110537.137569881</v>
      </c>
      <c r="J83" s="1">
        <v>120563.078854147</v>
      </c>
      <c r="K83" s="1">
        <v>136111.188051529</v>
      </c>
      <c r="L83" s="1">
        <v>143826.42142948799</v>
      </c>
      <c r="M83" s="1">
        <v>153453.68219397601</v>
      </c>
      <c r="N83" s="1">
        <v>162080.339435362</v>
      </c>
      <c r="O83" s="1">
        <v>175032.48321000001</v>
      </c>
      <c r="P83" s="1">
        <v>187096.82117000001</v>
      </c>
      <c r="Q83" s="1">
        <v>202328.21064</v>
      </c>
      <c r="R83" s="1">
        <v>211220.46523</v>
      </c>
      <c r="S83" s="1">
        <v>220772.86608000001</v>
      </c>
      <c r="T83" s="1">
        <v>232335.20214000001</v>
      </c>
      <c r="U83" s="1">
        <v>246247.08850000001</v>
      </c>
      <c r="V83" s="1">
        <v>264716.10622999998</v>
      </c>
      <c r="W83" s="1">
        <v>285045.11284000002</v>
      </c>
      <c r="X83" s="1">
        <v>298877.26925000001</v>
      </c>
      <c r="Y83" s="1">
        <v>278024.56513</v>
      </c>
      <c r="Z83" s="1">
        <v>297028.55807999999</v>
      </c>
      <c r="AA83" s="1">
        <v>302949.2659</v>
      </c>
      <c r="AB83" s="1">
        <v>315755.78999999998</v>
      </c>
      <c r="AC83" s="1">
        <v>336453.49</v>
      </c>
      <c r="AD83" s="1">
        <v>359214.21</v>
      </c>
    </row>
    <row r="84" spans="1:30">
      <c r="A84" s="1" t="s">
        <v>89</v>
      </c>
      <c r="B84" s="1" t="s">
        <v>66</v>
      </c>
      <c r="C84" s="1" t="s">
        <v>26</v>
      </c>
      <c r="D84" s="1" t="s">
        <v>26</v>
      </c>
      <c r="E84" s="1">
        <v>13224.254540579401</v>
      </c>
      <c r="F84" s="1">
        <v>13217.4533846706</v>
      </c>
      <c r="G84" s="1">
        <v>13322.4486674115</v>
      </c>
      <c r="H84" s="1">
        <v>13959.0535338506</v>
      </c>
      <c r="I84" s="1">
        <v>14609.2681261581</v>
      </c>
      <c r="J84" s="1">
        <v>15984.375155948301</v>
      </c>
      <c r="K84" s="1">
        <v>18083.517031730498</v>
      </c>
      <c r="L84" s="1">
        <v>19959.592230110298</v>
      </c>
      <c r="M84" s="1">
        <v>21645.309335357098</v>
      </c>
      <c r="N84" s="1">
        <v>22118.5236474302</v>
      </c>
      <c r="O84" s="1">
        <v>24129.344209999999</v>
      </c>
      <c r="P84" s="1">
        <v>26770.39027</v>
      </c>
      <c r="Q84" s="1">
        <v>28652.114000000001</v>
      </c>
      <c r="R84" s="1">
        <v>29743.66516</v>
      </c>
      <c r="S84" s="1">
        <v>31910.24624</v>
      </c>
      <c r="T84" s="1">
        <v>34049.498890000003</v>
      </c>
      <c r="U84" s="1">
        <v>35835.839930000002</v>
      </c>
      <c r="V84" s="1">
        <v>37275.022060000003</v>
      </c>
      <c r="W84" s="1">
        <v>39378.103069999997</v>
      </c>
      <c r="X84" s="1">
        <v>40449.760499999997</v>
      </c>
      <c r="Y84" s="1">
        <v>39286.654979999999</v>
      </c>
      <c r="Z84" s="1">
        <v>40539.275889999997</v>
      </c>
      <c r="AA84" s="1">
        <v>40002.44889</v>
      </c>
      <c r="AB84" s="1">
        <v>42264.5</v>
      </c>
      <c r="AC84" s="1">
        <v>44449.54</v>
      </c>
      <c r="AD84" s="1">
        <v>44905.95</v>
      </c>
    </row>
    <row r="85" spans="1:30">
      <c r="A85" s="1" t="s">
        <v>89</v>
      </c>
      <c r="B85" s="1" t="s">
        <v>80</v>
      </c>
      <c r="C85" s="1" t="s">
        <v>93</v>
      </c>
      <c r="D85" s="1" t="s">
        <v>14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>
        <v>18616.95</v>
      </c>
      <c r="AB85" s="1">
        <v>19286.490000000002</v>
      </c>
      <c r="AC85" s="1">
        <v>19617.7</v>
      </c>
      <c r="AD85" s="1">
        <v>19357.11</v>
      </c>
    </row>
    <row r="86" spans="1:30">
      <c r="A86" s="1" t="s">
        <v>89</v>
      </c>
      <c r="B86" s="1" t="s">
        <v>72</v>
      </c>
      <c r="C86" s="1" t="s">
        <v>36</v>
      </c>
      <c r="D86" s="1" t="s">
        <v>36</v>
      </c>
      <c r="E86" s="1">
        <v>8221.5867111194893</v>
      </c>
      <c r="F86" s="1">
        <v>8682.3114414829506</v>
      </c>
      <c r="G86" s="1">
        <v>9083.9371670189303</v>
      </c>
      <c r="H86" s="1">
        <v>9624.3495253196907</v>
      </c>
      <c r="I86" s="1">
        <v>10272.5428637815</v>
      </c>
      <c r="J86" s="1">
        <v>11025.127660349101</v>
      </c>
      <c r="K86" s="1">
        <v>11903.9619955908</v>
      </c>
      <c r="L86" s="1">
        <v>14523.570079286401</v>
      </c>
      <c r="M86" s="1">
        <v>15825.8363290827</v>
      </c>
      <c r="N86" s="1">
        <v>17114.878466160499</v>
      </c>
      <c r="O86" s="1">
        <v>18388.28356</v>
      </c>
      <c r="P86" s="1">
        <v>21262.486959999998</v>
      </c>
      <c r="Q86" s="1">
        <v>24156.746009999999</v>
      </c>
      <c r="R86" s="1">
        <v>26670.475719999999</v>
      </c>
      <c r="S86" s="1">
        <v>30720.125</v>
      </c>
      <c r="T86" s="1">
        <v>35082.327859999998</v>
      </c>
      <c r="U86" s="1">
        <v>39964.673419999999</v>
      </c>
      <c r="V86" s="1">
        <v>41366.808660000002</v>
      </c>
      <c r="W86" s="1">
        <v>42083.726699999999</v>
      </c>
      <c r="X86" s="1">
        <v>50649.308709999998</v>
      </c>
      <c r="Y86" s="1">
        <v>46703.437409999999</v>
      </c>
      <c r="Z86" s="1">
        <v>69263.216759999996</v>
      </c>
      <c r="AA86" s="1">
        <v>85345.313080000007</v>
      </c>
      <c r="AB86" s="1">
        <v>86318.5</v>
      </c>
      <c r="AC86" s="1">
        <v>89253.94</v>
      </c>
      <c r="AD86" s="1">
        <v>90611.61</v>
      </c>
    </row>
    <row r="87" spans="1:30">
      <c r="A87" s="1" t="s">
        <v>89</v>
      </c>
      <c r="B87" s="1" t="s">
        <v>9</v>
      </c>
      <c r="C87" s="1" t="s">
        <v>9</v>
      </c>
      <c r="D87" s="1" t="s">
        <v>9</v>
      </c>
      <c r="E87" s="1">
        <v>10523.4995854849</v>
      </c>
      <c r="F87" s="1">
        <v>10764.033559638799</v>
      </c>
      <c r="G87" s="1">
        <v>12060.3150677095</v>
      </c>
      <c r="H87" s="1">
        <v>13149.8249054385</v>
      </c>
      <c r="I87" s="1">
        <v>13171.437812206401</v>
      </c>
      <c r="J87" s="1">
        <v>14055.4198316251</v>
      </c>
      <c r="K87" s="1">
        <v>15279.734367487699</v>
      </c>
      <c r="L87" s="1">
        <v>15697.935187503699</v>
      </c>
      <c r="M87" s="1">
        <v>16368.303172428799</v>
      </c>
      <c r="N87" s="1">
        <v>16894.106004443998</v>
      </c>
      <c r="O87" s="1">
        <v>17470.044959999999</v>
      </c>
      <c r="P87" s="1">
        <v>18245.345229999999</v>
      </c>
      <c r="Q87" s="1">
        <v>19207.889800000001</v>
      </c>
      <c r="R87" s="1">
        <v>20190.810140000001</v>
      </c>
      <c r="S87" s="1">
        <v>21358.622429999999</v>
      </c>
      <c r="T87" s="1">
        <v>22286.614560000002</v>
      </c>
      <c r="U87" s="1">
        <v>23616.947820000001</v>
      </c>
      <c r="V87" s="1">
        <v>24791.861850000001</v>
      </c>
      <c r="W87" s="1">
        <v>27327.86246</v>
      </c>
      <c r="X87" s="1">
        <v>30021.483970000001</v>
      </c>
      <c r="Y87" s="1">
        <v>25995.230729999999</v>
      </c>
      <c r="Z87" s="1">
        <v>28127.239000000001</v>
      </c>
      <c r="AA87" s="1">
        <v>29774.647000000001</v>
      </c>
      <c r="AB87" s="1">
        <v>31709.040000000001</v>
      </c>
      <c r="AC87" s="1">
        <v>34215.01</v>
      </c>
      <c r="AD87" s="1">
        <v>37034.57</v>
      </c>
    </row>
    <row r="88" spans="1:30">
      <c r="A88" s="1" t="s">
        <v>89</v>
      </c>
      <c r="B88" s="1" t="s">
        <v>8</v>
      </c>
      <c r="C88" s="1" t="s">
        <v>8</v>
      </c>
      <c r="D88" s="1" t="s">
        <v>8</v>
      </c>
      <c r="E88" s="1">
        <v>291773.696726561</v>
      </c>
      <c r="F88" s="1">
        <v>287741.51846311899</v>
      </c>
      <c r="G88" s="1">
        <v>289361.63567892398</v>
      </c>
      <c r="H88" s="1">
        <v>291885.580437203</v>
      </c>
      <c r="I88" s="1">
        <v>332478.73155232897</v>
      </c>
      <c r="J88" s="1">
        <v>364173.271819029</v>
      </c>
      <c r="K88" s="1">
        <v>379684.89843159</v>
      </c>
      <c r="L88" s="1">
        <v>405198.46633585601</v>
      </c>
      <c r="M88" s="1">
        <v>439598.24420207198</v>
      </c>
      <c r="N88" s="1">
        <v>451735.75360135199</v>
      </c>
      <c r="O88" s="1">
        <v>491549.14801</v>
      </c>
      <c r="P88" s="1">
        <v>533589.46080999996</v>
      </c>
      <c r="Q88" s="1">
        <v>585571.04700000002</v>
      </c>
      <c r="R88" s="1">
        <v>618800.67409999995</v>
      </c>
      <c r="S88" s="1">
        <v>637777.69790000003</v>
      </c>
      <c r="T88" s="1">
        <v>654605.15599</v>
      </c>
      <c r="U88" s="1">
        <v>664738.68654999998</v>
      </c>
      <c r="V88" s="1">
        <v>704826.28642000002</v>
      </c>
      <c r="W88" s="1">
        <v>737769.03086000006</v>
      </c>
      <c r="X88" s="1">
        <v>747263.48088000005</v>
      </c>
      <c r="Y88" s="1">
        <v>695137.41651999997</v>
      </c>
      <c r="Z88" s="1">
        <v>702452.34595999995</v>
      </c>
      <c r="AA88" s="1">
        <v>734191.60811000003</v>
      </c>
      <c r="AB88" s="1">
        <v>762885.9</v>
      </c>
      <c r="AC88" s="1">
        <v>802516.25</v>
      </c>
      <c r="AD88" s="1">
        <v>840775.58</v>
      </c>
    </row>
    <row r="89" spans="1:30">
      <c r="A89" s="1" t="s">
        <v>89</v>
      </c>
      <c r="B89" s="1" t="s">
        <v>63</v>
      </c>
      <c r="C89" s="1" t="s">
        <v>23</v>
      </c>
      <c r="D89" s="1" t="s">
        <v>23</v>
      </c>
      <c r="E89" s="1">
        <v>166351.68362525001</v>
      </c>
      <c r="F89" s="1">
        <v>176382.029325796</v>
      </c>
      <c r="G89" s="1">
        <v>182086.33301124701</v>
      </c>
      <c r="H89" s="1">
        <v>185202.00452691599</v>
      </c>
      <c r="I89" s="1">
        <v>191693.08172568999</v>
      </c>
      <c r="J89" s="1">
        <v>207710.88839324599</v>
      </c>
      <c r="K89" s="1">
        <v>222713.75644022599</v>
      </c>
      <c r="L89" s="1">
        <v>228741.67684547199</v>
      </c>
      <c r="M89" s="1">
        <v>242151.05605687801</v>
      </c>
      <c r="N89" s="1">
        <v>254796.764555717</v>
      </c>
      <c r="O89" s="1">
        <v>272954.02888</v>
      </c>
      <c r="P89" s="1">
        <v>289641.72395999997</v>
      </c>
      <c r="Q89" s="1">
        <v>314921.95280000003</v>
      </c>
      <c r="R89" s="1">
        <v>330280.82964000001</v>
      </c>
      <c r="S89" s="1">
        <v>344715.56378000003</v>
      </c>
      <c r="T89" s="1">
        <v>364831.00983</v>
      </c>
      <c r="U89" s="1">
        <v>386709.40266999998</v>
      </c>
      <c r="V89" s="1">
        <v>407185.34837000002</v>
      </c>
      <c r="W89" s="1">
        <v>431922.40681999997</v>
      </c>
      <c r="X89" s="1">
        <v>453188.69693999999</v>
      </c>
      <c r="Y89" s="1">
        <v>433893.01079999999</v>
      </c>
      <c r="Z89" s="1">
        <v>438579.17450999998</v>
      </c>
      <c r="AA89" s="1">
        <v>462312.48875000002</v>
      </c>
      <c r="AB89" s="1">
        <v>487230.49</v>
      </c>
      <c r="AC89" s="1">
        <v>513996.18</v>
      </c>
      <c r="AD89" s="1">
        <v>542456.78</v>
      </c>
    </row>
    <row r="90" spans="1:30">
      <c r="A90" s="1" t="s">
        <v>89</v>
      </c>
      <c r="B90" s="1" t="s">
        <v>69</v>
      </c>
      <c r="C90" s="1" t="s">
        <v>27</v>
      </c>
      <c r="D90" s="1" t="s">
        <v>27</v>
      </c>
      <c r="E90" s="1">
        <v>46055.270385694603</v>
      </c>
      <c r="F90" s="1">
        <v>54898.703752784197</v>
      </c>
      <c r="G90" s="1">
        <v>59884.900517430397</v>
      </c>
      <c r="H90" s="1">
        <v>65025.345017865897</v>
      </c>
      <c r="I90" s="1">
        <v>67301.450146137606</v>
      </c>
      <c r="J90" s="1">
        <v>71371.798959693799</v>
      </c>
      <c r="K90" s="1">
        <v>77281.913216725196</v>
      </c>
      <c r="L90" s="1">
        <v>81435.441492725498</v>
      </c>
      <c r="M90" s="1">
        <v>88928.971835892196</v>
      </c>
      <c r="N90" s="1">
        <v>92460.168772574107</v>
      </c>
      <c r="O90" s="1">
        <v>97159.066340000005</v>
      </c>
      <c r="P90" s="1">
        <v>105497.5047</v>
      </c>
      <c r="Q90" s="1">
        <v>110334.67817</v>
      </c>
      <c r="R90" s="1">
        <v>111846.99244</v>
      </c>
      <c r="S90" s="1">
        <v>117106.1562</v>
      </c>
      <c r="T90" s="1">
        <v>115380.2447</v>
      </c>
      <c r="U90" s="1">
        <v>108405.55265</v>
      </c>
      <c r="V90" s="1">
        <v>111386.66535</v>
      </c>
      <c r="W90" s="1">
        <v>119779.84624</v>
      </c>
      <c r="X90" s="1">
        <v>125537.60745</v>
      </c>
      <c r="Y90" s="1">
        <v>124207.97215</v>
      </c>
      <c r="Z90" s="1">
        <v>133824.11442999999</v>
      </c>
      <c r="AA90" s="1">
        <v>141346.16579999999</v>
      </c>
      <c r="AB90" s="1">
        <v>157598.51999999999</v>
      </c>
      <c r="AC90" s="1">
        <v>170659.77</v>
      </c>
      <c r="AD90" s="1">
        <v>174089.88</v>
      </c>
    </row>
    <row r="91" spans="1:30">
      <c r="A91" s="1" t="s">
        <v>89</v>
      </c>
      <c r="B91" s="1" t="s">
        <v>67</v>
      </c>
      <c r="C91" s="1" t="s">
        <v>32</v>
      </c>
      <c r="D91" s="1" t="s">
        <v>32</v>
      </c>
      <c r="E91" s="1">
        <v>12449.2205403106</v>
      </c>
      <c r="F91" s="1">
        <v>13205.172953245899</v>
      </c>
      <c r="G91" s="1">
        <v>13872.8550817819</v>
      </c>
      <c r="H91" s="1">
        <v>9204.8726836580099</v>
      </c>
      <c r="I91" s="1">
        <v>9586.4303616386496</v>
      </c>
      <c r="J91" s="1">
        <v>9914.3702128594705</v>
      </c>
      <c r="K91" s="1">
        <v>10414.0043517432</v>
      </c>
      <c r="L91" s="1">
        <v>10715.169165663599</v>
      </c>
      <c r="M91" s="1">
        <v>11026.361222121999</v>
      </c>
      <c r="N91" s="1">
        <v>12768.9178024538</v>
      </c>
      <c r="O91" s="1">
        <v>14015.891900000001</v>
      </c>
      <c r="P91" s="1">
        <v>14723.67661</v>
      </c>
      <c r="Q91" s="1">
        <v>15844.365250000001</v>
      </c>
      <c r="R91" s="1">
        <v>17614.8377</v>
      </c>
      <c r="S91" s="1">
        <v>22195.978459999998</v>
      </c>
      <c r="T91" s="1">
        <v>24832.31669</v>
      </c>
      <c r="U91" s="1">
        <v>28741.68103</v>
      </c>
      <c r="V91" s="1">
        <v>30527.23674</v>
      </c>
      <c r="W91" s="1">
        <v>32035.75503</v>
      </c>
      <c r="X91" s="1">
        <v>33794.45708</v>
      </c>
      <c r="Y91" s="1">
        <v>30989.781749999998</v>
      </c>
      <c r="Z91" s="1">
        <v>32473.641660000001</v>
      </c>
      <c r="AA91" s="1">
        <v>32304.850160000002</v>
      </c>
      <c r="AB91" s="1">
        <v>34294.47</v>
      </c>
      <c r="AC91" s="1">
        <v>34892.83</v>
      </c>
      <c r="AD91" s="1">
        <v>34757.11</v>
      </c>
    </row>
    <row r="92" spans="1:30">
      <c r="A92" s="1" t="s">
        <v>89</v>
      </c>
      <c r="B92" s="1" t="s">
        <v>12</v>
      </c>
      <c r="C92" s="1" t="s">
        <v>12</v>
      </c>
      <c r="D92" s="1" t="s">
        <v>12</v>
      </c>
      <c r="E92" s="1">
        <v>1205.7432981474699</v>
      </c>
      <c r="F92" s="1">
        <v>1579.4396369946001</v>
      </c>
      <c r="G92" s="1">
        <v>1640.5429072235299</v>
      </c>
      <c r="H92" s="1">
        <v>2332.3525823455302</v>
      </c>
      <c r="I92" s="1">
        <v>3244.8033698193699</v>
      </c>
      <c r="J92" s="1">
        <v>3540.2468126245699</v>
      </c>
      <c r="K92" s="1">
        <v>3820.2192098804098</v>
      </c>
      <c r="L92" s="1">
        <v>4179.1231166300004</v>
      </c>
      <c r="M92" s="1">
        <v>4398.2526744693196</v>
      </c>
      <c r="N92" s="1">
        <v>4622.9581435099499</v>
      </c>
      <c r="O92" s="1">
        <v>4863.9703099999997</v>
      </c>
      <c r="P92" s="1">
        <v>5288.34447</v>
      </c>
      <c r="Q92" s="1">
        <v>5726.6850400000003</v>
      </c>
      <c r="R92" s="1">
        <v>6188.2754400000003</v>
      </c>
      <c r="S92" s="1">
        <v>6722.0788199999997</v>
      </c>
      <c r="T92" s="1">
        <v>7317.3801299999996</v>
      </c>
      <c r="U92" s="1">
        <v>7721.2894699999997</v>
      </c>
      <c r="V92" s="1">
        <v>7956.7846</v>
      </c>
      <c r="W92" s="1">
        <v>8285.5089399999997</v>
      </c>
      <c r="X92" s="1">
        <v>8559.3569800000005</v>
      </c>
      <c r="Y92" s="1">
        <v>8474.68462</v>
      </c>
      <c r="Z92" s="1">
        <v>8714.4374299999999</v>
      </c>
      <c r="AA92" s="1">
        <v>8873.4930899999999</v>
      </c>
      <c r="AB92" s="1">
        <v>9187.36</v>
      </c>
      <c r="AC92" s="1">
        <v>9516.5499999999993</v>
      </c>
      <c r="AD92" s="1">
        <v>10056.98</v>
      </c>
    </row>
    <row r="93" spans="1:30">
      <c r="A93" s="1" t="s">
        <v>89</v>
      </c>
      <c r="B93" s="1" t="s">
        <v>5</v>
      </c>
      <c r="C93" s="1" t="s">
        <v>5</v>
      </c>
      <c r="D93" s="1" t="s">
        <v>5</v>
      </c>
      <c r="E93" s="1">
        <v>10436.5264458725</v>
      </c>
      <c r="F93" s="1">
        <v>12341.1336695348</v>
      </c>
      <c r="G93" s="1">
        <v>12658.3589354798</v>
      </c>
      <c r="H93" s="1">
        <v>13706.4996038397</v>
      </c>
      <c r="I93" s="1">
        <v>15128.462900007</v>
      </c>
      <c r="J93" s="1">
        <v>14564.563334718599</v>
      </c>
      <c r="K93" s="1">
        <v>16754.1764504245</v>
      </c>
      <c r="L93" s="1">
        <v>18015.186126753899</v>
      </c>
      <c r="M93" s="1">
        <v>19579.0758375521</v>
      </c>
      <c r="N93" s="1">
        <v>20212.382546069799</v>
      </c>
      <c r="O93" s="1">
        <v>21601.723040000001</v>
      </c>
      <c r="P93" s="1">
        <v>21571.040089999999</v>
      </c>
      <c r="Q93" s="1">
        <v>25926.187730000001</v>
      </c>
      <c r="R93" s="1">
        <v>28266.69152</v>
      </c>
      <c r="S93" s="1">
        <v>28117.165270000001</v>
      </c>
      <c r="T93" s="1">
        <v>27834.648560000001</v>
      </c>
      <c r="U93" s="1">
        <v>29038.98733</v>
      </c>
      <c r="V93" s="1">
        <v>30127.534479999998</v>
      </c>
      <c r="W93" s="1">
        <v>30777.9915</v>
      </c>
      <c r="X93" s="1">
        <v>31894.295770000001</v>
      </c>
      <c r="Y93" s="1">
        <v>32226.99</v>
      </c>
      <c r="Z93" s="1">
        <v>35215.517740000003</v>
      </c>
      <c r="AA93" s="1">
        <v>36100.051290000003</v>
      </c>
      <c r="AB93" s="1">
        <v>39667.379999999997</v>
      </c>
      <c r="AC93" s="1">
        <v>42357.57</v>
      </c>
      <c r="AD93" s="1">
        <v>42622.42</v>
      </c>
    </row>
    <row r="94" spans="1:30">
      <c r="A94" s="1" t="s">
        <v>89</v>
      </c>
      <c r="B94" s="1" t="s">
        <v>7</v>
      </c>
      <c r="C94" s="1" t="s">
        <v>7</v>
      </c>
      <c r="D94" s="1" t="s">
        <v>7</v>
      </c>
      <c r="E94" s="1">
        <v>30448.188188526099</v>
      </c>
      <c r="F94" s="1">
        <v>29075.8171052535</v>
      </c>
      <c r="G94" s="1">
        <v>32799.965550648798</v>
      </c>
      <c r="H94" s="1">
        <v>32653.291225751898</v>
      </c>
      <c r="I94" s="1">
        <v>31681.1982312818</v>
      </c>
      <c r="J94" s="1">
        <v>34925.950317484603</v>
      </c>
      <c r="K94" s="1">
        <v>35793.165169571701</v>
      </c>
      <c r="L94" s="1">
        <v>37697.674995400201</v>
      </c>
      <c r="M94" s="1">
        <v>39515.496943307502</v>
      </c>
      <c r="N94" s="1">
        <v>41024.424167601399</v>
      </c>
      <c r="O94" s="1">
        <v>43927.326540000002</v>
      </c>
      <c r="P94" s="1">
        <v>49058.861360000003</v>
      </c>
      <c r="Q94" s="1">
        <v>53646.82387</v>
      </c>
      <c r="R94" s="1">
        <v>55690.804660000002</v>
      </c>
      <c r="S94" s="1">
        <v>58841.761149999998</v>
      </c>
      <c r="T94" s="1">
        <v>62035.81985</v>
      </c>
      <c r="U94" s="1">
        <v>67779.395640000002</v>
      </c>
      <c r="V94" s="1">
        <v>72861.897830000002</v>
      </c>
      <c r="W94" s="1">
        <v>79145.388699999996</v>
      </c>
      <c r="X94" s="1">
        <v>82804.963250000001</v>
      </c>
      <c r="Y94" s="1">
        <v>78790.293210000003</v>
      </c>
      <c r="Z94" s="1">
        <v>81913.307620000007</v>
      </c>
      <c r="AA94" s="1">
        <v>83896.770699999994</v>
      </c>
      <c r="AB94" s="1">
        <v>87373.16</v>
      </c>
      <c r="AC94" s="1">
        <v>88928.18</v>
      </c>
      <c r="AD94" s="1">
        <v>93620.1</v>
      </c>
    </row>
    <row r="95" spans="1:30">
      <c r="A95" s="1" t="s">
        <v>89</v>
      </c>
      <c r="B95" s="1" t="s">
        <v>13</v>
      </c>
      <c r="C95" s="1" t="s">
        <v>13</v>
      </c>
      <c r="D95" s="1" t="s">
        <v>13</v>
      </c>
      <c r="E95" s="1">
        <v>1742.33543371007</v>
      </c>
      <c r="F95" s="1">
        <v>1769.05851029428</v>
      </c>
      <c r="G95" s="1">
        <v>2082.11007840292</v>
      </c>
      <c r="H95" s="1">
        <v>2304.8481811746901</v>
      </c>
      <c r="I95" s="1">
        <v>2455.89149822319</v>
      </c>
      <c r="J95" s="1">
        <v>2599.06994133543</v>
      </c>
      <c r="K95" s="1">
        <v>2787.2491752553201</v>
      </c>
      <c r="L95" s="1">
        <v>3144.9704153306502</v>
      </c>
      <c r="M95" s="1">
        <v>3534.34327335542</v>
      </c>
      <c r="N95" s="1">
        <v>3776.0009479655801</v>
      </c>
      <c r="O95" s="1">
        <v>4385.61661</v>
      </c>
      <c r="P95" s="1">
        <v>5173.8676699999996</v>
      </c>
      <c r="Q95" s="1">
        <v>6281.1711699999996</v>
      </c>
      <c r="R95" s="1">
        <v>6968.0082400000001</v>
      </c>
      <c r="S95" s="1">
        <v>7344.1756599999999</v>
      </c>
      <c r="T95" s="1">
        <v>7619.5877600000003</v>
      </c>
      <c r="U95" s="1">
        <v>8177.0123599999997</v>
      </c>
      <c r="V95" s="1">
        <v>8679.3594799999992</v>
      </c>
      <c r="W95" s="1">
        <v>9427.7485500000003</v>
      </c>
      <c r="X95" s="1">
        <v>9999.05782</v>
      </c>
      <c r="Y95" s="1">
        <v>9790.4211300000006</v>
      </c>
      <c r="Z95" s="1">
        <v>10075.803</v>
      </c>
      <c r="AA95" s="1">
        <v>10178.45111</v>
      </c>
      <c r="AB95" s="1">
        <v>10273.040000000001</v>
      </c>
      <c r="AC95" s="1">
        <v>10481.14</v>
      </c>
      <c r="AD95" s="1">
        <v>10578.07</v>
      </c>
    </row>
    <row r="96" spans="1:30">
      <c r="A96" s="1" t="s">
        <v>89</v>
      </c>
      <c r="B96" s="1" t="s">
        <v>70</v>
      </c>
      <c r="C96" s="1" t="s">
        <v>46</v>
      </c>
      <c r="D96" s="1" t="s">
        <v>46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11346.011560000001</v>
      </c>
      <c r="P96" s="1">
        <v>11649.50726</v>
      </c>
      <c r="Q96" s="1">
        <v>12389.875389999999</v>
      </c>
      <c r="R96" s="1">
        <v>13122.171969999999</v>
      </c>
      <c r="S96" s="1">
        <v>14043.440850000001</v>
      </c>
      <c r="T96" s="1">
        <v>15246.05293</v>
      </c>
      <c r="U96" s="1">
        <v>16317.819450000001</v>
      </c>
      <c r="V96" s="1">
        <v>16969.655309999998</v>
      </c>
      <c r="W96" s="1">
        <v>17840.023140000001</v>
      </c>
      <c r="X96" s="1">
        <v>19068.548999999999</v>
      </c>
      <c r="Y96" s="1">
        <v>18489.757509999999</v>
      </c>
      <c r="Z96" s="1">
        <v>18609.925459999999</v>
      </c>
      <c r="AA96" s="1">
        <v>19050.233209999999</v>
      </c>
      <c r="AB96" s="1">
        <v>20788.96</v>
      </c>
      <c r="AC96" s="1">
        <v>22210.3</v>
      </c>
      <c r="AD96" s="1">
        <v>23203.48</v>
      </c>
    </row>
    <row r="97" spans="1:30">
      <c r="A97" s="1" t="s">
        <v>89</v>
      </c>
      <c r="B97" s="1" t="s">
        <v>76</v>
      </c>
      <c r="C97" s="1" t="s">
        <v>30</v>
      </c>
      <c r="D97" s="1" t="s">
        <v>30</v>
      </c>
      <c r="E97" s="1">
        <v>871.38184368354098</v>
      </c>
      <c r="F97" s="1">
        <v>1017.2457797644799</v>
      </c>
      <c r="G97" s="1">
        <v>1080.7586617197301</v>
      </c>
      <c r="H97" s="1">
        <v>1039.2965275399199</v>
      </c>
      <c r="I97" s="1">
        <v>1105.6238075895201</v>
      </c>
      <c r="J97" s="1">
        <v>1531.96950636051</v>
      </c>
      <c r="K97" s="1">
        <v>1898.4517147174699</v>
      </c>
      <c r="L97" s="1">
        <v>2162.9065998434198</v>
      </c>
      <c r="M97" s="1">
        <v>2663.9530996414601</v>
      </c>
      <c r="N97" s="1">
        <v>3293.5645382244402</v>
      </c>
      <c r="O97" s="1">
        <v>3431.17211</v>
      </c>
      <c r="P97" s="1">
        <v>4212.39833</v>
      </c>
      <c r="Q97" s="1">
        <v>4659.0838400000002</v>
      </c>
      <c r="R97" s="1">
        <v>5026.4942499999997</v>
      </c>
      <c r="S97" s="1">
        <v>5251.2334799999999</v>
      </c>
      <c r="T97" s="1">
        <v>5786.4017299999996</v>
      </c>
      <c r="U97" s="1">
        <v>6414.6370299999999</v>
      </c>
      <c r="V97" s="1">
        <v>7373.4866000000002</v>
      </c>
      <c r="W97" s="1">
        <v>7196.5991599999998</v>
      </c>
      <c r="X97" s="1">
        <v>13156.4712</v>
      </c>
      <c r="Y97" s="1">
        <v>16821.606459999999</v>
      </c>
      <c r="Z97" s="1">
        <v>18585.60313</v>
      </c>
      <c r="AA97" s="1">
        <v>29994.854200000002</v>
      </c>
      <c r="AB97" s="1">
        <v>24118.86</v>
      </c>
      <c r="AC97" s="1">
        <v>26554.82</v>
      </c>
      <c r="AD97" s="1">
        <v>33293.67</v>
      </c>
    </row>
    <row r="98" spans="1:30">
      <c r="A98" s="1" t="s">
        <v>89</v>
      </c>
      <c r="B98" s="1" t="s">
        <v>71</v>
      </c>
      <c r="C98" s="1" t="s">
        <v>38</v>
      </c>
      <c r="D98" s="1" t="s">
        <v>38</v>
      </c>
      <c r="E98" s="1">
        <v>8743.1278249020797</v>
      </c>
      <c r="F98" s="1">
        <v>9376.50907488743</v>
      </c>
      <c r="G98" s="1">
        <v>9942.5300006985599</v>
      </c>
      <c r="H98" s="1">
        <v>9572.3985835221902</v>
      </c>
      <c r="I98" s="1">
        <v>10217.8674529815</v>
      </c>
      <c r="J98" s="1">
        <v>11430.353838692299</v>
      </c>
      <c r="K98" s="1">
        <v>13117.155309322099</v>
      </c>
      <c r="L98" s="1">
        <v>15785.392598885401</v>
      </c>
      <c r="M98" s="1">
        <v>18172.792544279</v>
      </c>
      <c r="N98" s="1">
        <v>19479.853165485802</v>
      </c>
      <c r="O98" s="1">
        <v>20141.035690000001</v>
      </c>
      <c r="P98" s="1">
        <v>21961.153979999999</v>
      </c>
      <c r="Q98" s="1">
        <v>22369.518749999999</v>
      </c>
      <c r="R98" s="1">
        <v>23331.262350000001</v>
      </c>
      <c r="S98" s="1">
        <v>23801.172320000001</v>
      </c>
      <c r="T98" s="1">
        <v>26067.778740000002</v>
      </c>
      <c r="U98" s="1">
        <v>27710.48388</v>
      </c>
      <c r="V98" s="1">
        <v>29718.18316</v>
      </c>
      <c r="W98" s="1">
        <v>30806.129120000001</v>
      </c>
      <c r="X98" s="1">
        <v>32653.617610000001</v>
      </c>
      <c r="Y98" s="1">
        <v>30777.571820000001</v>
      </c>
      <c r="Z98" s="1">
        <v>33257.803</v>
      </c>
      <c r="AA98" s="1">
        <v>34255.066930000001</v>
      </c>
      <c r="AB98" s="1">
        <v>35137.47</v>
      </c>
      <c r="AC98" s="1">
        <v>36500.980000000003</v>
      </c>
      <c r="AD98" s="1">
        <v>36778.14</v>
      </c>
    </row>
    <row r="99" spans="1:30">
      <c r="A99" s="1" t="s">
        <v>89</v>
      </c>
      <c r="B99" s="1" t="s">
        <v>56</v>
      </c>
      <c r="C99" s="1" t="s">
        <v>41</v>
      </c>
      <c r="D99" s="1" t="s">
        <v>41</v>
      </c>
      <c r="E99" s="1">
        <v>45469.7787267401</v>
      </c>
      <c r="F99" s="1">
        <v>42978.361109947997</v>
      </c>
      <c r="G99" s="1">
        <v>51400.901872444498</v>
      </c>
      <c r="H99" s="1">
        <v>52155.042234120403</v>
      </c>
      <c r="I99" s="1">
        <v>55799.463537814103</v>
      </c>
      <c r="J99" s="1">
        <v>62272.679100045701</v>
      </c>
      <c r="K99" s="1">
        <v>70589.374577184106</v>
      </c>
      <c r="L99" s="1">
        <v>79966.553981676596</v>
      </c>
      <c r="M99" s="1">
        <v>88863.9471569952</v>
      </c>
      <c r="N99" s="1">
        <v>94844.285557641997</v>
      </c>
      <c r="O99" s="1">
        <v>99539.596990000005</v>
      </c>
      <c r="P99" s="1">
        <v>105474.67726</v>
      </c>
      <c r="Q99" s="1">
        <v>114503.15561</v>
      </c>
      <c r="R99" s="1">
        <v>120436.36345999999</v>
      </c>
      <c r="S99" s="1">
        <v>124148.5732</v>
      </c>
      <c r="T99" s="1">
        <v>128952.21226</v>
      </c>
      <c r="U99" s="1">
        <v>135207.97812000001</v>
      </c>
      <c r="V99" s="1">
        <v>142013.72639</v>
      </c>
      <c r="W99" s="1">
        <v>150803.36597000001</v>
      </c>
      <c r="X99" s="1">
        <v>163244.13321999999</v>
      </c>
      <c r="Y99" s="1">
        <v>161327.63975999999</v>
      </c>
      <c r="Z99" s="1">
        <v>166914.74463999999</v>
      </c>
      <c r="AA99" s="1">
        <v>173314.81318</v>
      </c>
      <c r="AB99" s="1">
        <v>181084.17</v>
      </c>
      <c r="AC99" s="1">
        <v>190051.09</v>
      </c>
      <c r="AD99" s="1">
        <v>191108.51</v>
      </c>
    </row>
    <row r="100" spans="1:30">
      <c r="A100" s="1" t="s">
        <v>89</v>
      </c>
      <c r="B100" s="1" t="s">
        <v>14</v>
      </c>
      <c r="C100" s="1" t="s">
        <v>14</v>
      </c>
      <c r="D100" s="1" t="s">
        <v>14</v>
      </c>
      <c r="E100" s="1">
        <v>11513.4902014729</v>
      </c>
      <c r="F100" s="1">
        <v>12427.424499381899</v>
      </c>
      <c r="G100" s="1">
        <v>9171.4073673687708</v>
      </c>
      <c r="H100" s="1">
        <v>9870.0563755300791</v>
      </c>
      <c r="I100" s="1">
        <v>10844.3653404288</v>
      </c>
      <c r="J100" s="1">
        <v>11786.864308791</v>
      </c>
      <c r="K100" s="1">
        <v>15120.9638652658</v>
      </c>
      <c r="L100" s="1">
        <v>18164.0889253491</v>
      </c>
      <c r="M100" s="1">
        <v>20543.124680658799</v>
      </c>
      <c r="N100" s="1">
        <v>22782.919787676699</v>
      </c>
      <c r="O100" s="1">
        <v>25009.775570000002</v>
      </c>
      <c r="P100" s="1">
        <v>27037.628809999998</v>
      </c>
      <c r="Q100" s="1">
        <v>28882.224979999999</v>
      </c>
      <c r="R100" s="1">
        <v>30778.24741</v>
      </c>
      <c r="S100" s="1">
        <v>33168.025950000003</v>
      </c>
      <c r="T100" s="1">
        <v>35524.777770000001</v>
      </c>
      <c r="U100" s="1">
        <v>37824.226820000003</v>
      </c>
      <c r="V100" s="1">
        <v>39870.095889999997</v>
      </c>
      <c r="W100" s="1">
        <v>42576.324460000003</v>
      </c>
      <c r="X100" s="1">
        <v>44058.796979999999</v>
      </c>
      <c r="Y100" s="1">
        <v>43396.2045</v>
      </c>
      <c r="Z100" s="1">
        <v>47620.329239999999</v>
      </c>
      <c r="AA100" s="1">
        <v>48650.251510000002</v>
      </c>
      <c r="AB100" s="1">
        <v>50154.74</v>
      </c>
      <c r="AC100" s="1">
        <v>18267.38</v>
      </c>
      <c r="AD100" s="1">
        <v>18554.34</v>
      </c>
    </row>
    <row r="101" spans="1:30">
      <c r="A101" s="1" t="s">
        <v>89</v>
      </c>
      <c r="B101" s="1" t="s">
        <v>81</v>
      </c>
      <c r="C101" s="1" t="s">
        <v>94</v>
      </c>
      <c r="D101" s="1" t="s">
        <v>14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>
        <v>6515.36</v>
      </c>
      <c r="AB101" s="1">
        <v>6728.27</v>
      </c>
      <c r="AC101" s="1">
        <v>7082.1</v>
      </c>
      <c r="AD101" s="1">
        <v>7102.88</v>
      </c>
    </row>
    <row r="102" spans="1:30">
      <c r="A102" s="1" t="s">
        <v>89</v>
      </c>
      <c r="B102" s="1" t="s">
        <v>4</v>
      </c>
      <c r="C102" s="1" t="s">
        <v>4</v>
      </c>
      <c r="D102" s="1" t="s">
        <v>4</v>
      </c>
      <c r="E102" s="1">
        <v>59963.011834747798</v>
      </c>
      <c r="F102" s="1">
        <v>72856.367832921795</v>
      </c>
      <c r="G102" s="1">
        <v>85717.341119737393</v>
      </c>
      <c r="H102" s="1">
        <v>56675.238265727203</v>
      </c>
      <c r="I102" s="1">
        <v>62274.081445774798</v>
      </c>
      <c r="J102" s="1">
        <v>65989.330942490997</v>
      </c>
      <c r="K102" s="1">
        <v>68895.795540443403</v>
      </c>
      <c r="L102" s="1">
        <v>73356.530695199603</v>
      </c>
      <c r="M102" s="1">
        <v>80490.366798269402</v>
      </c>
      <c r="N102" s="1">
        <v>87748.892721765995</v>
      </c>
      <c r="O102" s="1">
        <v>95152.51324</v>
      </c>
      <c r="P102" s="1">
        <v>110722.0249</v>
      </c>
      <c r="Q102" s="1">
        <v>120978.85646</v>
      </c>
      <c r="R102" s="1">
        <v>127338.48349</v>
      </c>
      <c r="S102" s="1">
        <v>129639.72816</v>
      </c>
      <c r="T102" s="1">
        <v>134850.26044000001</v>
      </c>
      <c r="U102" s="1">
        <v>139706.38913</v>
      </c>
      <c r="V102" s="1">
        <v>141710.51902000001</v>
      </c>
      <c r="W102" s="1">
        <v>147050.83738000001</v>
      </c>
      <c r="X102" s="1">
        <v>150885.02611999999</v>
      </c>
      <c r="Y102" s="1">
        <v>148133.66685000001</v>
      </c>
      <c r="Z102" s="1">
        <v>153996.36655999999</v>
      </c>
      <c r="AA102" s="1">
        <v>163041.33413</v>
      </c>
      <c r="AB102" s="1">
        <v>171020.32</v>
      </c>
      <c r="AC102" s="1">
        <v>176944.01</v>
      </c>
      <c r="AD102" s="1">
        <v>181244.59</v>
      </c>
    </row>
    <row r="103" spans="1:30">
      <c r="A103" s="1" t="s">
        <v>89</v>
      </c>
      <c r="B103" s="1" t="s">
        <v>60</v>
      </c>
      <c r="C103" s="1" t="s">
        <v>29</v>
      </c>
      <c r="D103" s="1" t="s">
        <v>29</v>
      </c>
      <c r="E103" s="1"/>
      <c r="F103" s="1"/>
      <c r="G103" s="1"/>
      <c r="H103" s="1">
        <v>36857.376912162697</v>
      </c>
      <c r="I103" s="1">
        <v>37873.569963217997</v>
      </c>
      <c r="J103" s="1">
        <v>16728.610481784901</v>
      </c>
      <c r="K103" s="1">
        <v>19716.682567698601</v>
      </c>
      <c r="L103" s="1">
        <v>25039.858298648702</v>
      </c>
      <c r="M103" s="1">
        <v>32395.717694235202</v>
      </c>
      <c r="N103" s="1">
        <v>37301.547285287998</v>
      </c>
      <c r="O103" s="1">
        <v>45350.313439999998</v>
      </c>
      <c r="P103" s="1">
        <v>48421.857600000003</v>
      </c>
      <c r="Q103" s="1">
        <v>52069.670969999999</v>
      </c>
      <c r="R103" s="1">
        <v>55515.327770000004</v>
      </c>
      <c r="S103" s="1">
        <v>58731.612350000003</v>
      </c>
      <c r="T103" s="1">
        <v>60637.95897</v>
      </c>
      <c r="U103" s="1">
        <v>62584.779730000002</v>
      </c>
      <c r="V103" s="1">
        <v>63509.216359999999</v>
      </c>
      <c r="W103" s="1">
        <v>69262.923720000006</v>
      </c>
      <c r="X103" s="1">
        <v>73447.469320000004</v>
      </c>
      <c r="Y103" s="1">
        <v>69792.412379999994</v>
      </c>
      <c r="Z103" s="1">
        <v>72042.689580000006</v>
      </c>
      <c r="AA103" s="1">
        <v>74944.810259999998</v>
      </c>
      <c r="AB103" s="1">
        <v>81476.94</v>
      </c>
      <c r="AC103" s="1">
        <v>86579.47</v>
      </c>
      <c r="AD103" s="1">
        <v>92478.32</v>
      </c>
    </row>
    <row r="104" spans="1:30">
      <c r="A104" s="1" t="s">
        <v>89</v>
      </c>
      <c r="B104" s="1" t="s">
        <v>74</v>
      </c>
      <c r="C104" s="1" t="s">
        <v>37</v>
      </c>
      <c r="D104" s="1" t="s">
        <v>37</v>
      </c>
      <c r="E104" s="1">
        <v>7295.7706436499202</v>
      </c>
      <c r="F104" s="1">
        <v>7461.08945593934</v>
      </c>
      <c r="G104" s="1">
        <v>8065.7486734910799</v>
      </c>
      <c r="H104" s="1">
        <v>8722.3010308930498</v>
      </c>
      <c r="I104" s="1">
        <v>9793.9398376341105</v>
      </c>
      <c r="J104" s="1">
        <v>11414.7713997751</v>
      </c>
      <c r="K104" s="1">
        <v>12416.546375531199</v>
      </c>
      <c r="L104" s="1">
        <v>13965.382938450901</v>
      </c>
      <c r="M104" s="1">
        <v>16057.950540469599</v>
      </c>
      <c r="N104" s="1">
        <v>18101.730142626599</v>
      </c>
      <c r="O104" s="1">
        <v>21023.36578</v>
      </c>
      <c r="P104" s="1">
        <v>22317.689689999999</v>
      </c>
      <c r="Q104" s="1">
        <v>23366.565640000001</v>
      </c>
      <c r="R104" s="1">
        <v>24807.787329999999</v>
      </c>
      <c r="S104" s="1">
        <v>28742.4905</v>
      </c>
      <c r="T104" s="1">
        <v>29956.178919999998</v>
      </c>
      <c r="U104" s="1">
        <v>32248.518650000002</v>
      </c>
      <c r="V104" s="1">
        <v>34826.402869999998</v>
      </c>
      <c r="W104" s="1">
        <v>36804.904260000003</v>
      </c>
      <c r="X104" s="1">
        <v>38755.85699</v>
      </c>
      <c r="Y104" s="1">
        <v>37940.569770000002</v>
      </c>
      <c r="Z104" s="1">
        <v>40239.516000000003</v>
      </c>
      <c r="AA104" s="1">
        <v>40498.19025</v>
      </c>
      <c r="AB104" s="1">
        <v>41654.629999999997</v>
      </c>
      <c r="AC104" s="1">
        <v>42526.17</v>
      </c>
      <c r="AD104" s="1">
        <v>43781.48</v>
      </c>
    </row>
    <row r="105" spans="1:30">
      <c r="A105" s="1" t="s">
        <v>89</v>
      </c>
      <c r="B105" s="1" t="s">
        <v>68</v>
      </c>
      <c r="C105" s="1" t="s">
        <v>25</v>
      </c>
      <c r="D105" s="1" t="s">
        <v>25</v>
      </c>
      <c r="E105" s="1">
        <v>8061.8552914210504</v>
      </c>
      <c r="F105" s="1">
        <v>7335.5852632073702</v>
      </c>
      <c r="G105" s="1">
        <v>7187.17786726125</v>
      </c>
      <c r="H105" s="1">
        <v>7426.8218788235099</v>
      </c>
      <c r="I105" s="1">
        <v>7508.5976934604996</v>
      </c>
      <c r="J105" s="1">
        <v>7689.1368929119099</v>
      </c>
      <c r="K105" s="1">
        <v>8596.0480167348505</v>
      </c>
      <c r="L105" s="1">
        <v>11873.4613809242</v>
      </c>
      <c r="M105" s="1">
        <v>14606.348678275501</v>
      </c>
      <c r="N105" s="1">
        <v>16843.574699593999</v>
      </c>
      <c r="O105" s="1">
        <v>18914.905409999999</v>
      </c>
      <c r="P105" s="1">
        <v>19894.8632</v>
      </c>
      <c r="Q105" s="1">
        <v>20911.080030000001</v>
      </c>
      <c r="R105" s="1">
        <v>22112.484199999999</v>
      </c>
      <c r="S105" s="1">
        <v>23375.03471</v>
      </c>
      <c r="T105" s="1">
        <v>24622.972170000001</v>
      </c>
      <c r="U105" s="1">
        <v>25455.833729999998</v>
      </c>
      <c r="V105" s="1">
        <v>26551.067510000001</v>
      </c>
      <c r="W105" s="1">
        <v>28677.559020000001</v>
      </c>
      <c r="X105" s="1">
        <v>30503.556499999999</v>
      </c>
      <c r="Y105" s="1">
        <v>30092.963919999998</v>
      </c>
      <c r="Z105" s="1">
        <v>30346.148209999999</v>
      </c>
      <c r="AA105" s="1">
        <v>31935.778460000001</v>
      </c>
      <c r="AB105" s="1">
        <v>33588.68</v>
      </c>
      <c r="AC105" s="1">
        <v>35259.019999999997</v>
      </c>
      <c r="AD105" s="1">
        <v>37168.94</v>
      </c>
    </row>
    <row r="106" spans="1:30">
      <c r="A106" s="1" t="s">
        <v>89</v>
      </c>
      <c r="B106" s="1" t="s">
        <v>79</v>
      </c>
      <c r="C106" s="1" t="s">
        <v>92</v>
      </c>
      <c r="D106" s="1" t="s">
        <v>14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>
        <v>5973.46</v>
      </c>
      <c r="AB106" s="1">
        <v>6218.2</v>
      </c>
      <c r="AC106" s="1">
        <v>6559.29</v>
      </c>
      <c r="AD106" s="1">
        <v>6717.94</v>
      </c>
    </row>
    <row r="107" spans="1:30">
      <c r="A107" s="1" t="s">
        <v>89</v>
      </c>
      <c r="B107" s="1" t="s">
        <v>73</v>
      </c>
      <c r="C107" s="1" t="s">
        <v>35</v>
      </c>
      <c r="D107" s="1" t="s">
        <v>35</v>
      </c>
      <c r="E107" s="1">
        <v>24682.443824051199</v>
      </c>
      <c r="F107" s="1">
        <v>30263.686718469598</v>
      </c>
      <c r="G107" s="1">
        <v>29621.336540975499</v>
      </c>
      <c r="H107" s="1">
        <v>29995.857336891801</v>
      </c>
      <c r="I107" s="1">
        <v>31411.3689458031</v>
      </c>
      <c r="J107" s="1">
        <v>31698.7131400369</v>
      </c>
      <c r="K107" s="1">
        <v>32394.9001593988</v>
      </c>
      <c r="L107" s="1">
        <v>35834.385851475097</v>
      </c>
      <c r="M107" s="1">
        <v>43237.879124455103</v>
      </c>
      <c r="N107" s="1">
        <v>50276.952301108897</v>
      </c>
      <c r="O107" s="1">
        <v>57259.192649999997</v>
      </c>
      <c r="P107" s="1">
        <v>64561.918890000001</v>
      </c>
      <c r="Q107" s="1">
        <v>74678.047279999999</v>
      </c>
      <c r="R107" s="1">
        <v>82975.853829999993</v>
      </c>
      <c r="S107" s="1">
        <v>89710.700030000007</v>
      </c>
      <c r="T107" s="1">
        <v>96963.272060000003</v>
      </c>
      <c r="U107" s="1">
        <v>103857.18786999999</v>
      </c>
      <c r="V107" s="1">
        <v>112387.27178</v>
      </c>
      <c r="W107" s="1">
        <v>118819.79513</v>
      </c>
      <c r="X107" s="1">
        <v>125557.71436</v>
      </c>
      <c r="Y107" s="1">
        <v>127770.23864</v>
      </c>
      <c r="Z107" s="1">
        <v>134600.86635</v>
      </c>
      <c r="AA107" s="1">
        <v>139015.41495000001</v>
      </c>
      <c r="AB107" s="1">
        <v>145390.79</v>
      </c>
      <c r="AC107" s="1">
        <v>148819.07</v>
      </c>
      <c r="AD107" s="1">
        <v>155438.35999999999</v>
      </c>
    </row>
    <row r="108" spans="1:30">
      <c r="A108" s="1" t="s">
        <v>89</v>
      </c>
      <c r="B108" s="1" t="s">
        <v>58</v>
      </c>
      <c r="C108" s="1" t="s">
        <v>40</v>
      </c>
      <c r="D108" s="1" t="s">
        <v>40</v>
      </c>
      <c r="E108" s="1">
        <v>38878.512518536103</v>
      </c>
      <c r="F108" s="1">
        <v>40499.741971859403</v>
      </c>
      <c r="G108" s="1">
        <v>42354.550941395297</v>
      </c>
      <c r="H108" s="1">
        <v>45433.728548102401</v>
      </c>
      <c r="I108" s="1">
        <v>50136.1203436777</v>
      </c>
      <c r="J108" s="1">
        <v>53450.116022794398</v>
      </c>
      <c r="K108" s="1">
        <v>56768.101477201002</v>
      </c>
      <c r="L108" s="1">
        <v>62362.289266883803</v>
      </c>
      <c r="M108" s="1">
        <v>66583.984204717897</v>
      </c>
      <c r="N108" s="1">
        <v>70223.293775416503</v>
      </c>
      <c r="O108" s="1">
        <v>76364.638789999997</v>
      </c>
      <c r="P108" s="1">
        <v>80495.866380000007</v>
      </c>
      <c r="Q108" s="1">
        <v>85219.8946</v>
      </c>
      <c r="R108" s="1">
        <v>89260.412769999995</v>
      </c>
      <c r="S108" s="1">
        <v>93404.413750000007</v>
      </c>
      <c r="T108" s="1">
        <v>93638.157940000005</v>
      </c>
      <c r="U108" s="1">
        <v>101309.89702999999</v>
      </c>
      <c r="V108" s="1">
        <v>107287.53764</v>
      </c>
      <c r="W108" s="1">
        <v>111301.18479</v>
      </c>
      <c r="X108" s="1">
        <v>113186.3367</v>
      </c>
      <c r="Y108" s="1">
        <v>114605.19014999999</v>
      </c>
      <c r="Z108" s="1">
        <v>111007.10127</v>
      </c>
      <c r="AA108" s="1">
        <v>108306.9188</v>
      </c>
      <c r="AB108" s="1">
        <v>110986.58</v>
      </c>
      <c r="AC108" s="1">
        <v>115875.99</v>
      </c>
      <c r="AD108" s="1">
        <v>119081.60000000001</v>
      </c>
    </row>
    <row r="109" spans="1:30">
      <c r="A109" s="1" t="s">
        <v>89</v>
      </c>
      <c r="B109" s="1" t="s">
        <v>78</v>
      </c>
      <c r="C109" s="1" t="s">
        <v>91</v>
      </c>
      <c r="D109" s="1" t="s">
        <v>33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>
        <v>3627.17</v>
      </c>
      <c r="AC109" s="1">
        <v>3630.04</v>
      </c>
      <c r="AD109" s="1">
        <v>3654.48</v>
      </c>
    </row>
    <row r="110" spans="1:30">
      <c r="A110" s="1" t="s">
        <v>89</v>
      </c>
      <c r="B110" s="1" t="s">
        <v>61</v>
      </c>
      <c r="C110" s="1" t="s">
        <v>21</v>
      </c>
      <c r="D110" s="1" t="s">
        <v>21</v>
      </c>
      <c r="E110" s="1">
        <v>121931.97204500499</v>
      </c>
      <c r="F110" s="1">
        <v>126796.13736831299</v>
      </c>
      <c r="G110" s="1">
        <v>129957.80093053701</v>
      </c>
      <c r="H110" s="1">
        <v>136648.01125217901</v>
      </c>
      <c r="I110" s="1">
        <v>150757.63326437099</v>
      </c>
      <c r="J110" s="1">
        <v>168804.896019651</v>
      </c>
      <c r="K110" s="1">
        <v>174280.402282439</v>
      </c>
      <c r="L110" s="1">
        <v>190544.35999323201</v>
      </c>
      <c r="M110" s="1">
        <v>199641.54344253201</v>
      </c>
      <c r="N110" s="1">
        <v>209493.86384127001</v>
      </c>
      <c r="O110" s="1">
        <v>221524.23678000001</v>
      </c>
      <c r="P110" s="1">
        <v>245323.57091000001</v>
      </c>
      <c r="Q110" s="1">
        <v>271070.79576000001</v>
      </c>
      <c r="R110" s="1">
        <v>268318.28086</v>
      </c>
      <c r="S110" s="1">
        <v>287389.54976000002</v>
      </c>
      <c r="T110" s="1">
        <v>299342.63838999998</v>
      </c>
      <c r="U110" s="1">
        <v>313083.69585000002</v>
      </c>
      <c r="V110" s="1">
        <v>332750.60726000002</v>
      </c>
      <c r="W110" s="1">
        <v>352312.42229000002</v>
      </c>
      <c r="X110" s="1">
        <v>366760.22415999998</v>
      </c>
      <c r="Y110" s="1">
        <v>336213.71750999999</v>
      </c>
      <c r="Z110" s="1">
        <v>357977.87703999999</v>
      </c>
      <c r="AA110" s="1">
        <v>359006.09733999998</v>
      </c>
      <c r="AB110" s="1">
        <v>386751.79</v>
      </c>
      <c r="AC110" s="1">
        <v>413661.87</v>
      </c>
      <c r="AD110" s="1">
        <v>435547.55</v>
      </c>
    </row>
    <row r="111" spans="1:30">
      <c r="A111" s="1" t="s">
        <v>89</v>
      </c>
      <c r="B111" s="1" t="s">
        <v>64</v>
      </c>
      <c r="C111" s="1" t="s">
        <v>24</v>
      </c>
      <c r="D111" s="1" t="s">
        <v>24</v>
      </c>
      <c r="E111" s="1">
        <v>18948.815325632801</v>
      </c>
      <c r="F111" s="1">
        <v>19006.4874380986</v>
      </c>
      <c r="G111" s="1">
        <v>19758.409874518598</v>
      </c>
      <c r="H111" s="1">
        <v>20821.340164454701</v>
      </c>
      <c r="I111" s="1">
        <v>22047.717109348501</v>
      </c>
      <c r="J111" s="1">
        <v>22735.605869028299</v>
      </c>
      <c r="K111" s="1">
        <v>23654.476965551399</v>
      </c>
      <c r="L111" s="1">
        <v>23133.0686336857</v>
      </c>
      <c r="M111" s="1">
        <v>24062.6967042043</v>
      </c>
      <c r="N111" s="1">
        <v>25179.1430433887</v>
      </c>
      <c r="O111" s="1">
        <v>26708.740099999999</v>
      </c>
      <c r="P111" s="1">
        <v>30026.170699999999</v>
      </c>
      <c r="Q111" s="1">
        <v>32320.292300000001</v>
      </c>
      <c r="R111" s="1">
        <v>33044.477290000003</v>
      </c>
      <c r="S111" s="1">
        <v>36145.685210000003</v>
      </c>
      <c r="T111" s="1">
        <v>38205.249069999998</v>
      </c>
      <c r="U111" s="1">
        <v>38402.216719999997</v>
      </c>
      <c r="V111" s="1">
        <v>39297.727680000004</v>
      </c>
      <c r="W111" s="1">
        <v>40474.310219999999</v>
      </c>
      <c r="X111" s="1">
        <v>41406.83784</v>
      </c>
      <c r="Y111" s="1">
        <v>40785.949370000002</v>
      </c>
      <c r="Z111" s="1">
        <v>41890.78746</v>
      </c>
      <c r="AA111" s="1">
        <v>43172.702250000002</v>
      </c>
      <c r="AB111" s="1">
        <v>46518.96</v>
      </c>
      <c r="AC111" s="1">
        <v>49921.81</v>
      </c>
      <c r="AD111" s="1">
        <v>53270.79</v>
      </c>
    </row>
    <row r="112" spans="1:30">
      <c r="A112" s="1" t="s">
        <v>89</v>
      </c>
      <c r="B112" s="1" t="s">
        <v>65</v>
      </c>
      <c r="C112" s="1" t="s">
        <v>31</v>
      </c>
      <c r="D112" s="1" t="s">
        <v>31</v>
      </c>
      <c r="E112" s="1">
        <v>9303.3224781434001</v>
      </c>
      <c r="F112" s="1">
        <v>9854.3977995164805</v>
      </c>
      <c r="G112" s="1">
        <v>10258.2868798702</v>
      </c>
      <c r="H112" s="1">
        <v>10728.2750877813</v>
      </c>
      <c r="I112" s="1">
        <v>11554.902878881599</v>
      </c>
      <c r="J112" s="1">
        <v>12061.6323165661</v>
      </c>
      <c r="K112" s="1">
        <v>12749.021439357601</v>
      </c>
      <c r="L112" s="1">
        <v>13871.918343758</v>
      </c>
      <c r="M112" s="1">
        <v>15623.250361385501</v>
      </c>
      <c r="N112" s="1">
        <v>17850.243653732599</v>
      </c>
      <c r="O112" s="1">
        <v>19005.302800000001</v>
      </c>
      <c r="P112" s="1">
        <v>20052.850289999998</v>
      </c>
      <c r="Q112" s="1">
        <v>22001.25995</v>
      </c>
      <c r="R112" s="1">
        <v>22213.426070000001</v>
      </c>
      <c r="S112" s="1">
        <v>22950.228599999999</v>
      </c>
      <c r="T112" s="1">
        <v>25615.716049999999</v>
      </c>
      <c r="U112" s="1">
        <v>27709.645219999999</v>
      </c>
      <c r="V112" s="1">
        <v>28526.820950000001</v>
      </c>
      <c r="W112" s="1">
        <v>30007.146379999998</v>
      </c>
      <c r="X112" s="1">
        <v>32163.880020000001</v>
      </c>
      <c r="Y112" s="1">
        <v>30386.3959</v>
      </c>
      <c r="Z112" s="1">
        <v>31589.130929999999</v>
      </c>
      <c r="AA112" s="1">
        <v>30968.08726</v>
      </c>
      <c r="AB112" s="1">
        <v>33748.53</v>
      </c>
      <c r="AC112" s="1">
        <v>34798.33</v>
      </c>
      <c r="AD112" s="1">
        <v>35456.15</v>
      </c>
    </row>
    <row r="113" spans="1:30">
      <c r="A113" s="1" t="s">
        <v>89</v>
      </c>
      <c r="B113" s="1" t="s">
        <v>77</v>
      </c>
      <c r="C113" s="1" t="s">
        <v>33</v>
      </c>
      <c r="D113" s="1" t="s">
        <v>33</v>
      </c>
      <c r="E113" s="1"/>
      <c r="F113" s="1"/>
      <c r="G113" s="1">
        <v>4950.0229975172097</v>
      </c>
      <c r="H113" s="1">
        <v>5100.4235251525997</v>
      </c>
      <c r="I113" s="1">
        <v>5230.8192414789301</v>
      </c>
      <c r="J113" s="1">
        <v>5359.0468937103296</v>
      </c>
      <c r="K113" s="1">
        <v>5577.4459401993299</v>
      </c>
      <c r="L113" s="1">
        <v>5885.8491135168097</v>
      </c>
      <c r="M113" s="1">
        <v>6064.70793797224</v>
      </c>
      <c r="N113" s="1">
        <v>6361.74673144182</v>
      </c>
      <c r="O113" s="1">
        <v>6853.3075699999999</v>
      </c>
      <c r="P113" s="1">
        <v>7387.2752200000004</v>
      </c>
      <c r="Q113" s="1">
        <v>7601.43685</v>
      </c>
      <c r="R113" s="1">
        <v>9034.8601600000002</v>
      </c>
      <c r="S113" s="1">
        <v>9020.7990599999994</v>
      </c>
      <c r="T113" s="1">
        <v>10008.94353</v>
      </c>
      <c r="U113" s="1">
        <v>10472.305399999999</v>
      </c>
      <c r="V113" s="1">
        <v>10752.872579999999</v>
      </c>
      <c r="W113" s="1">
        <v>11133.95609</v>
      </c>
      <c r="X113" s="1">
        <v>11816.228789999999</v>
      </c>
      <c r="Y113" s="1">
        <v>11302.852080000001</v>
      </c>
      <c r="Z113" s="1">
        <v>11223.39164</v>
      </c>
      <c r="AA113" s="1">
        <v>10256.508980000001</v>
      </c>
      <c r="AB113" s="1">
        <v>8796.99</v>
      </c>
      <c r="AC113" s="1">
        <v>5037.34</v>
      </c>
      <c r="AD113" s="1">
        <v>4942.99</v>
      </c>
    </row>
    <row r="114" spans="1:30">
      <c r="A114" s="1" t="s">
        <v>89</v>
      </c>
      <c r="B114" s="1" t="s">
        <v>75</v>
      </c>
      <c r="C114" s="1" t="s">
        <v>34</v>
      </c>
      <c r="D114" s="1" t="s">
        <v>34</v>
      </c>
      <c r="E114" s="1"/>
      <c r="F114" s="1"/>
      <c r="G114" s="1"/>
      <c r="H114" s="1"/>
      <c r="I114" s="1">
        <v>1976.39364293277</v>
      </c>
      <c r="J114" s="1">
        <v>2107.6153945153901</v>
      </c>
      <c r="K114" s="1">
        <v>2336.7470297366299</v>
      </c>
      <c r="L114" s="1">
        <v>3074.4073139560301</v>
      </c>
      <c r="M114" s="1">
        <v>4335.6099934456597</v>
      </c>
      <c r="N114" s="1">
        <v>4679.6043542891402</v>
      </c>
      <c r="O114" s="1">
        <v>4548.8902399999997</v>
      </c>
      <c r="P114" s="1">
        <v>5223.6168100000004</v>
      </c>
      <c r="Q114" s="1">
        <v>5599.7065899999998</v>
      </c>
      <c r="R114" s="1">
        <v>6253.9066800000001</v>
      </c>
      <c r="S114" s="1">
        <v>6726.5981899999997</v>
      </c>
      <c r="T114" s="1">
        <v>7182.8681699999997</v>
      </c>
      <c r="U114" s="1">
        <v>7984.3761500000001</v>
      </c>
      <c r="V114" s="1">
        <v>8617.0168599999997</v>
      </c>
      <c r="W114" s="1">
        <v>9082.9728400000004</v>
      </c>
      <c r="X114" s="1">
        <v>9630.5442999999996</v>
      </c>
      <c r="Y114" s="1">
        <v>8810.6789000000008</v>
      </c>
      <c r="Z114" s="1">
        <v>9465.9805199999992</v>
      </c>
      <c r="AA114" s="1">
        <v>9455.2691200000008</v>
      </c>
      <c r="AB114" s="1">
        <v>9643.5300000000007</v>
      </c>
      <c r="AC114" s="1">
        <v>10046.209999999999</v>
      </c>
      <c r="AD114" s="1">
        <v>9949.83</v>
      </c>
    </row>
    <row r="115" spans="1:30">
      <c r="A115" s="1" t="s">
        <v>89</v>
      </c>
      <c r="B115" s="1" t="s">
        <v>57</v>
      </c>
      <c r="C115" s="1" t="s">
        <v>39</v>
      </c>
      <c r="D115" s="1" t="s">
        <v>39</v>
      </c>
      <c r="E115" s="1">
        <v>20087.018681046098</v>
      </c>
      <c r="F115" s="1">
        <v>20301.949152945301</v>
      </c>
      <c r="G115" s="1">
        <v>20513.729097342999</v>
      </c>
      <c r="H115" s="1">
        <v>21151.3221426071</v>
      </c>
      <c r="I115" s="1">
        <v>21823.934194595098</v>
      </c>
      <c r="J115" s="1">
        <v>23096.815119375999</v>
      </c>
      <c r="K115" s="1">
        <v>24024.913874499998</v>
      </c>
      <c r="L115" s="1">
        <v>24966.371025692701</v>
      </c>
      <c r="M115" s="1">
        <v>26285.0028634628</v>
      </c>
      <c r="N115" s="1">
        <v>27588.057943207401</v>
      </c>
      <c r="O115" s="1">
        <v>30696.804530000001</v>
      </c>
      <c r="P115" s="1">
        <v>34097.668830000002</v>
      </c>
      <c r="Q115" s="1">
        <v>36280.809789999999</v>
      </c>
      <c r="R115" s="1">
        <v>37957.415970000002</v>
      </c>
      <c r="S115" s="1">
        <v>39883.15019</v>
      </c>
      <c r="T115" s="1">
        <v>41609.41229</v>
      </c>
      <c r="U115" s="1">
        <v>44221.668579999998</v>
      </c>
      <c r="V115" s="1">
        <v>46182.46675</v>
      </c>
      <c r="W115" s="1">
        <v>47807.313450000001</v>
      </c>
      <c r="X115" s="1">
        <v>50275.295039999997</v>
      </c>
      <c r="Y115" s="1">
        <v>48919.50649</v>
      </c>
      <c r="Z115" s="1">
        <v>49492.17067</v>
      </c>
      <c r="AA115" s="1">
        <v>51368.567369999997</v>
      </c>
      <c r="AB115" s="1">
        <v>55330.81</v>
      </c>
      <c r="AC115" s="1">
        <v>57300.53</v>
      </c>
      <c r="AD115" s="1">
        <v>56249.97</v>
      </c>
    </row>
    <row r="116" spans="1:30">
      <c r="A116" s="1" t="s">
        <v>88</v>
      </c>
      <c r="B116" s="1" t="s">
        <v>3</v>
      </c>
      <c r="C116" s="1" t="s">
        <v>3</v>
      </c>
      <c r="D116" s="1" t="s">
        <v>3</v>
      </c>
      <c r="E116" s="1">
        <v>2929.6129999999998</v>
      </c>
      <c r="F116" s="1">
        <v>3281.8989999999999</v>
      </c>
      <c r="G116" s="1">
        <v>622.62400000000002</v>
      </c>
      <c r="H116" s="1">
        <v>1185.74</v>
      </c>
      <c r="I116" s="1">
        <v>762.34799999999996</v>
      </c>
      <c r="J116" s="1">
        <v>5992.9483899999996</v>
      </c>
      <c r="K116" s="1">
        <v>476.81473</v>
      </c>
      <c r="L116" s="1">
        <v>2919.2073999999998</v>
      </c>
      <c r="M116" s="1">
        <v>3355.7329800000002</v>
      </c>
      <c r="N116" s="1">
        <v>3516.97786</v>
      </c>
      <c r="O116" s="1">
        <v>54431.947910000003</v>
      </c>
      <c r="P116" s="1">
        <v>61765.896860000001</v>
      </c>
      <c r="Q116" s="1">
        <v>69320.800220000005</v>
      </c>
      <c r="R116" s="1">
        <v>56583.796950000004</v>
      </c>
      <c r="S116" s="1">
        <v>57795.662389999998</v>
      </c>
      <c r="T116" s="1">
        <v>60839.482770000002</v>
      </c>
      <c r="U116" s="1">
        <v>58843.342920000003</v>
      </c>
      <c r="V116" s="1">
        <v>60748.801469999999</v>
      </c>
      <c r="W116" s="1">
        <v>61855.801950000001</v>
      </c>
      <c r="X116" s="1">
        <v>63730.356720000003</v>
      </c>
      <c r="Y116" s="1">
        <v>63339.22681</v>
      </c>
      <c r="Z116" s="1">
        <v>64572.075579999997</v>
      </c>
      <c r="AA116" s="1">
        <v>74111.39</v>
      </c>
      <c r="AB116" s="1">
        <v>82596.23</v>
      </c>
      <c r="AC116" s="1">
        <v>89266.36</v>
      </c>
      <c r="AD116" s="1">
        <v>92643.89</v>
      </c>
    </row>
    <row r="117" spans="1:30">
      <c r="A117" s="1" t="s">
        <v>88</v>
      </c>
      <c r="B117" s="1" t="s">
        <v>11</v>
      </c>
      <c r="C117" s="1" t="s">
        <v>11</v>
      </c>
      <c r="D117" s="1" t="s">
        <v>11</v>
      </c>
      <c r="E117" s="1">
        <v>4059.4769999999999</v>
      </c>
      <c r="F117" s="1">
        <v>4067.9029999999998</v>
      </c>
      <c r="G117" s="1">
        <v>4210.41968</v>
      </c>
      <c r="H117" s="1">
        <v>4418.2430000000004</v>
      </c>
      <c r="I117" s="1">
        <v>7885.0092999999997</v>
      </c>
      <c r="J117" s="1">
        <v>9138.8598399999992</v>
      </c>
      <c r="K117" s="1">
        <v>8190.7702200000003</v>
      </c>
      <c r="L117" s="1">
        <v>10666.48666</v>
      </c>
      <c r="M117" s="1">
        <v>14553.15143</v>
      </c>
      <c r="N117" s="1">
        <v>17294.29074</v>
      </c>
      <c r="O117" s="1">
        <v>13334.40595</v>
      </c>
      <c r="P117" s="1">
        <v>11705.052</v>
      </c>
      <c r="Q117" s="1">
        <v>6025.5787899999996</v>
      </c>
      <c r="R117" s="1">
        <v>8053.8849899999996</v>
      </c>
      <c r="S117" s="1">
        <v>10276.550999999999</v>
      </c>
      <c r="T117" s="1">
        <v>9263.6550299999999</v>
      </c>
      <c r="U117" s="1">
        <v>11369.062970000001</v>
      </c>
      <c r="V117" s="1">
        <v>13317.176670000001</v>
      </c>
      <c r="W117" s="1">
        <v>16568.49135</v>
      </c>
      <c r="X117" s="1">
        <v>14315.440909999999</v>
      </c>
      <c r="Y117" s="1">
        <v>3123.4214200000001</v>
      </c>
      <c r="Z117" s="1">
        <v>549.11828000000003</v>
      </c>
      <c r="AA117" s="1">
        <v>4036.9927400000001</v>
      </c>
      <c r="AB117" s="1">
        <v>8027.55</v>
      </c>
      <c r="AC117" s="1">
        <v>9109.7999999999993</v>
      </c>
      <c r="AD117" s="1">
        <v>9682.4500000000007</v>
      </c>
    </row>
    <row r="118" spans="1:30">
      <c r="A118" s="1" t="s">
        <v>88</v>
      </c>
      <c r="B118" s="1" t="s">
        <v>59</v>
      </c>
      <c r="C118" s="1" t="s">
        <v>28</v>
      </c>
      <c r="D118" s="1" t="s">
        <v>28</v>
      </c>
      <c r="E118" s="1">
        <v>1438.223</v>
      </c>
      <c r="F118" s="1">
        <v>1848.0440000000001</v>
      </c>
      <c r="G118" s="1">
        <v>1784.81203</v>
      </c>
      <c r="H118" s="1">
        <v>1970.04844</v>
      </c>
      <c r="I118" s="1">
        <v>4274.5988500000003</v>
      </c>
      <c r="J118" s="1">
        <v>4934.1776099999997</v>
      </c>
      <c r="K118" s="1">
        <v>5120.70244</v>
      </c>
      <c r="L118" s="1">
        <v>5078.3479699999998</v>
      </c>
      <c r="M118" s="1">
        <v>5056.7933499999999</v>
      </c>
      <c r="N118" s="1">
        <v>5154.9244799999997</v>
      </c>
      <c r="O118" s="1">
        <v>16708.846560000002</v>
      </c>
      <c r="P118" s="1">
        <v>24220.7101</v>
      </c>
      <c r="Q118" s="1">
        <v>21254.281080000001</v>
      </c>
      <c r="R118" s="1">
        <v>23391.633979999999</v>
      </c>
      <c r="S118" s="1">
        <v>28282.352279999999</v>
      </c>
      <c r="T118" s="1">
        <v>21819.72393</v>
      </c>
      <c r="U118" s="1">
        <v>18484.763319999998</v>
      </c>
      <c r="V118" s="1">
        <v>23981.257610000001</v>
      </c>
      <c r="W118" s="1">
        <v>23986.278780000001</v>
      </c>
      <c r="X118" s="1">
        <v>19290.485509999999</v>
      </c>
      <c r="Y118" s="1">
        <v>17059.954819999999</v>
      </c>
      <c r="Z118" s="1">
        <v>26792.309700000002</v>
      </c>
      <c r="AA118" s="1">
        <v>25607.627349999999</v>
      </c>
      <c r="AB118" s="1">
        <v>18901.072199999999</v>
      </c>
      <c r="AC118" s="1">
        <v>14695.74012</v>
      </c>
      <c r="AD118" s="1"/>
    </row>
    <row r="119" spans="1:30">
      <c r="A119" s="1" t="s">
        <v>88</v>
      </c>
      <c r="B119" s="1" t="s">
        <v>10</v>
      </c>
      <c r="C119" s="1" t="s">
        <v>10</v>
      </c>
      <c r="D119" s="1" t="s">
        <v>10</v>
      </c>
      <c r="E119" s="1">
        <v>25261.523000000001</v>
      </c>
      <c r="F119" s="1">
        <v>24770.174999999999</v>
      </c>
      <c r="G119" s="1">
        <v>27500.311860000002</v>
      </c>
      <c r="H119" s="1">
        <v>30485.3613</v>
      </c>
      <c r="I119" s="1">
        <v>34165.426639999998</v>
      </c>
      <c r="J119" s="1">
        <v>37420.079449999997</v>
      </c>
      <c r="K119" s="1">
        <v>41674.668660000003</v>
      </c>
      <c r="L119" s="1">
        <v>51962.832439999998</v>
      </c>
      <c r="M119" s="1">
        <v>57476.724589999998</v>
      </c>
      <c r="N119" s="1">
        <v>48914.78297</v>
      </c>
      <c r="O119" s="1">
        <v>225555.16649999999</v>
      </c>
      <c r="P119" s="1">
        <v>239024.93427</v>
      </c>
      <c r="Q119" s="1">
        <v>263272.89588000003</v>
      </c>
      <c r="R119" s="1">
        <v>249609.37508999999</v>
      </c>
      <c r="S119" s="1">
        <v>257090.99742999999</v>
      </c>
      <c r="T119" s="1">
        <v>265819.42118</v>
      </c>
      <c r="U119" s="1">
        <v>271158.55871999997</v>
      </c>
      <c r="V119" s="1">
        <v>303354.78107000003</v>
      </c>
      <c r="W119" s="1">
        <v>310806.38462999999</v>
      </c>
      <c r="X119" s="1">
        <v>306020.47528000001</v>
      </c>
      <c r="Y119" s="1">
        <v>296049.51598000003</v>
      </c>
      <c r="Z119" s="1">
        <v>321165.00203999999</v>
      </c>
      <c r="AA119" s="1">
        <v>342844.84</v>
      </c>
      <c r="AB119" s="1">
        <v>340277.99</v>
      </c>
      <c r="AC119" s="1">
        <v>369862.47</v>
      </c>
      <c r="AD119" s="1">
        <v>377238.37</v>
      </c>
    </row>
    <row r="120" spans="1:30">
      <c r="A120" s="1" t="s">
        <v>88</v>
      </c>
      <c r="B120" s="1" t="s">
        <v>6</v>
      </c>
      <c r="C120" s="1" t="s">
        <v>6</v>
      </c>
      <c r="D120" s="1" t="s">
        <v>6</v>
      </c>
      <c r="E120" s="1">
        <v>733.89499999999998</v>
      </c>
      <c r="F120" s="1">
        <v>729.05799999999999</v>
      </c>
      <c r="G120" s="1">
        <v>747.58299999999997</v>
      </c>
      <c r="H120" s="1">
        <v>766.39099999999996</v>
      </c>
      <c r="I120" s="1">
        <v>854.07942000000003</v>
      </c>
      <c r="J120" s="1">
        <v>970.49400000000003</v>
      </c>
      <c r="K120" s="1">
        <v>1021.814</v>
      </c>
      <c r="L120" s="1">
        <v>1125.98054</v>
      </c>
      <c r="M120" s="1">
        <v>1250.05547</v>
      </c>
      <c r="N120" s="1">
        <v>1231.8496700000001</v>
      </c>
      <c r="O120" s="1">
        <v>18092.749589999999</v>
      </c>
      <c r="P120" s="1">
        <v>20334.38567</v>
      </c>
      <c r="Q120" s="1">
        <v>22407.652050000001</v>
      </c>
      <c r="R120" s="1">
        <v>22916.774000000001</v>
      </c>
      <c r="S120" s="1">
        <v>24205.030569999999</v>
      </c>
      <c r="T120" s="1">
        <v>25676.343970000002</v>
      </c>
      <c r="U120" s="1">
        <v>26796.021410000001</v>
      </c>
      <c r="V120" s="1">
        <v>28895.269400000001</v>
      </c>
      <c r="W120" s="1">
        <v>29562.645059999999</v>
      </c>
      <c r="X120" s="1">
        <v>30477.64343</v>
      </c>
      <c r="Y120" s="1">
        <v>29823.34821</v>
      </c>
      <c r="Z120" s="1">
        <v>30857.961190000002</v>
      </c>
      <c r="AA120" s="1">
        <v>32101.013139999999</v>
      </c>
      <c r="AB120" s="1">
        <v>33033.714999999997</v>
      </c>
      <c r="AC120" s="1">
        <v>34078.352299999999</v>
      </c>
      <c r="AD120" s="1"/>
    </row>
    <row r="121" spans="1:30">
      <c r="A121" s="1" t="s">
        <v>88</v>
      </c>
      <c r="B121" s="1" t="s">
        <v>62</v>
      </c>
      <c r="C121" s="1" t="s">
        <v>22</v>
      </c>
      <c r="D121" s="1" t="s">
        <v>22</v>
      </c>
      <c r="E121" s="1">
        <v>72602.947</v>
      </c>
      <c r="F121" s="1">
        <v>64893.690999999999</v>
      </c>
      <c r="G121" s="1">
        <v>62167.74235</v>
      </c>
      <c r="H121" s="1">
        <v>68999.03426</v>
      </c>
      <c r="I121" s="1">
        <v>72384.935639999996</v>
      </c>
      <c r="J121" s="1">
        <v>79427.557660000006</v>
      </c>
      <c r="K121" s="1">
        <v>76782.213170000003</v>
      </c>
      <c r="L121" s="1">
        <v>77805.908249999993</v>
      </c>
      <c r="M121" s="1">
        <v>89267.443329999995</v>
      </c>
      <c r="N121" s="1">
        <v>81777.107449999996</v>
      </c>
      <c r="O121" s="1">
        <v>97675.34</v>
      </c>
      <c r="P121" s="1">
        <v>105571.11</v>
      </c>
      <c r="Q121" s="1">
        <v>112615.21</v>
      </c>
      <c r="R121" s="1">
        <v>127813.41314</v>
      </c>
      <c r="S121" s="1">
        <v>118498.48118</v>
      </c>
      <c r="T121" s="1">
        <v>99894.365550000002</v>
      </c>
      <c r="U121" s="1">
        <v>95528.921749999994</v>
      </c>
      <c r="V121" s="1">
        <v>104677.1257</v>
      </c>
      <c r="W121" s="1">
        <v>142739.89996000001</v>
      </c>
      <c r="X121" s="1">
        <v>133171.99092000001</v>
      </c>
      <c r="Y121" s="1">
        <v>105879.99007</v>
      </c>
      <c r="Z121" s="1">
        <v>143700.5</v>
      </c>
      <c r="AA121" s="1">
        <v>166454.64454000001</v>
      </c>
      <c r="AB121" s="1">
        <v>161759.23000000001</v>
      </c>
      <c r="AC121" s="1">
        <v>181874.93</v>
      </c>
      <c r="AD121" s="1">
        <v>181317.63</v>
      </c>
    </row>
    <row r="122" spans="1:30">
      <c r="A122" s="1" t="s">
        <v>88</v>
      </c>
      <c r="B122" s="1" t="s">
        <v>66</v>
      </c>
      <c r="C122" s="1" t="s">
        <v>26</v>
      </c>
      <c r="D122" s="1" t="s">
        <v>26</v>
      </c>
      <c r="E122" s="1">
        <v>4821.5200000000004</v>
      </c>
      <c r="F122" s="1">
        <v>4878.8810000000003</v>
      </c>
      <c r="G122" s="1">
        <v>5103.3435300000001</v>
      </c>
      <c r="H122" s="1">
        <v>5637.6704200000004</v>
      </c>
      <c r="I122" s="1">
        <v>5424.39264</v>
      </c>
      <c r="J122" s="1">
        <v>5867.0678200000002</v>
      </c>
      <c r="K122" s="1">
        <v>6574.7125299999998</v>
      </c>
      <c r="L122" s="1">
        <v>7203.0736399999996</v>
      </c>
      <c r="M122" s="1">
        <v>8006.5649199999998</v>
      </c>
      <c r="N122" s="1">
        <v>8809.2436899999993</v>
      </c>
      <c r="O122" s="1">
        <v>26796</v>
      </c>
      <c r="P122" s="1">
        <v>28729.806</v>
      </c>
      <c r="Q122" s="1">
        <v>30909.5</v>
      </c>
      <c r="R122" s="1">
        <v>32582.1</v>
      </c>
      <c r="S122" s="1">
        <v>33240.815000000002</v>
      </c>
      <c r="T122" s="1">
        <v>35469.542999999998</v>
      </c>
      <c r="U122" s="1">
        <v>37145.748</v>
      </c>
      <c r="V122" s="1">
        <v>39105.5</v>
      </c>
      <c r="W122" s="1">
        <v>43144.3</v>
      </c>
      <c r="X122" s="1">
        <v>42831.6</v>
      </c>
      <c r="Y122" s="1">
        <v>39957.300000000003</v>
      </c>
      <c r="Z122" s="1">
        <v>41818</v>
      </c>
      <c r="AA122" s="1">
        <v>43871.6</v>
      </c>
      <c r="AB122" s="1">
        <v>43986.9</v>
      </c>
      <c r="AC122" s="1">
        <v>44146</v>
      </c>
      <c r="AD122" s="1">
        <v>45853.7</v>
      </c>
    </row>
    <row r="123" spans="1:30">
      <c r="A123" s="1" t="s">
        <v>88</v>
      </c>
      <c r="B123" s="1" t="s">
        <v>80</v>
      </c>
      <c r="C123" s="1" t="s">
        <v>93</v>
      </c>
      <c r="D123" s="1" t="s">
        <v>14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>
        <v>6691</v>
      </c>
      <c r="AB123" s="1">
        <v>9399.9</v>
      </c>
      <c r="AC123" s="1">
        <v>12168.87</v>
      </c>
      <c r="AD123" s="1"/>
    </row>
    <row r="124" spans="1:30">
      <c r="A124" s="1" t="s">
        <v>88</v>
      </c>
      <c r="B124" s="1" t="s">
        <v>72</v>
      </c>
      <c r="C124" s="1" t="s">
        <v>36</v>
      </c>
      <c r="D124" s="1" t="s">
        <v>36</v>
      </c>
      <c r="E124" s="1">
        <v>999.17200000000003</v>
      </c>
      <c r="F124" s="1">
        <v>1022.627</v>
      </c>
      <c r="G124" s="1">
        <v>1056.0840000000001</v>
      </c>
      <c r="H124" s="1">
        <v>1073.4662699999999</v>
      </c>
      <c r="I124" s="1">
        <v>1104.30423</v>
      </c>
      <c r="J124" s="1">
        <v>1141.68085</v>
      </c>
      <c r="K124" s="1">
        <v>1198.38922</v>
      </c>
      <c r="L124" s="1">
        <v>2086.98531</v>
      </c>
      <c r="M124" s="1">
        <v>2202.95136</v>
      </c>
      <c r="N124" s="1">
        <v>2285.2115699999999</v>
      </c>
      <c r="O124" s="1">
        <v>22265.564409999999</v>
      </c>
      <c r="P124" s="1">
        <v>25524.337414670001</v>
      </c>
      <c r="Q124" s="1">
        <v>31022.255691359998</v>
      </c>
      <c r="R124" s="1">
        <v>27617.714380000001</v>
      </c>
      <c r="S124" s="1">
        <v>31191.00863</v>
      </c>
      <c r="T124" s="1">
        <v>33672.917679999999</v>
      </c>
      <c r="U124" s="1">
        <v>48957.197260000001</v>
      </c>
      <c r="V124" s="1">
        <v>49755.472710000002</v>
      </c>
      <c r="W124" s="1">
        <v>88668.715519999998</v>
      </c>
      <c r="X124" s="1">
        <v>99460.160239999997</v>
      </c>
      <c r="Y124" s="1">
        <v>118935.14233</v>
      </c>
      <c r="Z124" s="1">
        <v>142914.13806999999</v>
      </c>
      <c r="AA124" s="1">
        <v>175184.63673999999</v>
      </c>
      <c r="AB124" s="1">
        <v>195564.53</v>
      </c>
      <c r="AC124" s="1">
        <v>227875.36</v>
      </c>
      <c r="AD124" s="1"/>
    </row>
    <row r="125" spans="1:30">
      <c r="A125" s="1" t="s">
        <v>88</v>
      </c>
      <c r="B125" s="1" t="s">
        <v>9</v>
      </c>
      <c r="C125" s="1" t="s">
        <v>9</v>
      </c>
      <c r="D125" s="1" t="s">
        <v>9</v>
      </c>
      <c r="E125" s="1">
        <v>5251.866</v>
      </c>
      <c r="F125" s="1">
        <v>5706.4030000000002</v>
      </c>
      <c r="G125" s="1">
        <v>6052.2994399999998</v>
      </c>
      <c r="H125" s="1">
        <v>6553.0042100000001</v>
      </c>
      <c r="I125" s="1">
        <v>6870.0917900000004</v>
      </c>
      <c r="J125" s="1">
        <v>7182.7956299999996</v>
      </c>
      <c r="K125" s="1">
        <v>7477.2738300000001</v>
      </c>
      <c r="L125" s="1">
        <v>7855.9396900000002</v>
      </c>
      <c r="M125" s="1">
        <v>8310.6180199999999</v>
      </c>
      <c r="N125" s="1">
        <v>8591.5370399999993</v>
      </c>
      <c r="O125" s="1">
        <v>1520.5198010300001</v>
      </c>
      <c r="P125" s="1">
        <v>1506.20060691</v>
      </c>
      <c r="Q125" s="1">
        <v>1901.84635809</v>
      </c>
      <c r="R125" s="1">
        <v>2241.62559311</v>
      </c>
      <c r="S125" s="1">
        <v>3228.5404663499999</v>
      </c>
      <c r="T125" s="1">
        <v>3728.7494000000002</v>
      </c>
      <c r="U125" s="1">
        <v>4492.5105800000001</v>
      </c>
      <c r="V125" s="1">
        <v>4905.22192</v>
      </c>
      <c r="W125" s="1">
        <v>5102.39066</v>
      </c>
      <c r="X125" s="1">
        <v>4503.1881400000002</v>
      </c>
      <c r="Y125" s="1">
        <v>3833.5658600000002</v>
      </c>
      <c r="Z125" s="1">
        <v>4113.2564599999996</v>
      </c>
      <c r="AA125" s="1">
        <v>4121.0810000000001</v>
      </c>
      <c r="AB125" s="1">
        <v>4283.5963700000002</v>
      </c>
      <c r="AC125" s="1">
        <v>4502.4045599999999</v>
      </c>
      <c r="AD125" s="1">
        <v>4592</v>
      </c>
    </row>
    <row r="126" spans="1:30">
      <c r="A126" s="1" t="s">
        <v>88</v>
      </c>
      <c r="B126" s="1" t="s">
        <v>8</v>
      </c>
      <c r="C126" s="1" t="s">
        <v>8</v>
      </c>
      <c r="D126" s="1" t="s">
        <v>8</v>
      </c>
      <c r="E126" s="1">
        <v>109534.17200000001</v>
      </c>
      <c r="F126" s="1">
        <v>86282.187999999995</v>
      </c>
      <c r="G126" s="1">
        <v>84719.876000000004</v>
      </c>
      <c r="H126" s="1">
        <v>103183.439</v>
      </c>
      <c r="I126" s="1">
        <v>127938.61199999999</v>
      </c>
      <c r="J126" s="1">
        <v>151006.52299999999</v>
      </c>
      <c r="K126" s="1">
        <v>159227.473</v>
      </c>
      <c r="L126" s="1">
        <v>178965.88099999999</v>
      </c>
      <c r="M126" s="1">
        <v>228286.34169999999</v>
      </c>
      <c r="N126" s="1">
        <v>224871.49050000001</v>
      </c>
      <c r="O126" s="1">
        <v>705332.41711627005</v>
      </c>
      <c r="P126" s="1">
        <v>821351.33650811005</v>
      </c>
      <c r="Q126" s="1">
        <v>844132.82548832998</v>
      </c>
      <c r="R126" s="1">
        <v>825842.82168000005</v>
      </c>
      <c r="S126" s="1">
        <v>831005.05339000002</v>
      </c>
      <c r="T126" s="1">
        <v>812085.05455</v>
      </c>
      <c r="U126" s="1">
        <v>803869.77110000001</v>
      </c>
      <c r="V126" s="1">
        <v>1005586.34555</v>
      </c>
      <c r="W126" s="1">
        <v>1286430.6144300001</v>
      </c>
      <c r="X126" s="1">
        <v>1210887.0278700001</v>
      </c>
      <c r="Y126" s="1">
        <v>1079154.1883100001</v>
      </c>
      <c r="Z126" s="1">
        <v>1213500.92</v>
      </c>
      <c r="AA126" s="1">
        <v>1314952.67</v>
      </c>
      <c r="AB126" s="1">
        <v>1384981.69</v>
      </c>
      <c r="AC126" s="1">
        <v>1524662.34</v>
      </c>
      <c r="AD126" s="1"/>
    </row>
    <row r="127" spans="1:30">
      <c r="A127" s="1" t="s">
        <v>88</v>
      </c>
      <c r="B127" s="1" t="s">
        <v>63</v>
      </c>
      <c r="C127" s="1" t="s">
        <v>23</v>
      </c>
      <c r="D127" s="1" t="s">
        <v>23</v>
      </c>
      <c r="E127" s="1">
        <v>106891.57399999999</v>
      </c>
      <c r="F127" s="1">
        <v>104646.22199999999</v>
      </c>
      <c r="G127" s="1">
        <v>99082.744999999995</v>
      </c>
      <c r="H127" s="1">
        <v>100952.53783</v>
      </c>
      <c r="I127" s="1">
        <v>109521.62489000001</v>
      </c>
      <c r="J127" s="1">
        <v>124915.86645</v>
      </c>
      <c r="K127" s="1">
        <v>132702.60380000001</v>
      </c>
      <c r="L127" s="1">
        <v>139773.82689999999</v>
      </c>
      <c r="M127" s="1">
        <v>144688.4748</v>
      </c>
      <c r="N127" s="1">
        <v>144198.3321</v>
      </c>
      <c r="O127" s="1">
        <v>352137.21633000002</v>
      </c>
      <c r="P127" s="1">
        <v>405636.82021328999</v>
      </c>
      <c r="Q127" s="1">
        <v>456290.36934666999</v>
      </c>
      <c r="R127" s="1">
        <v>474424.22941000003</v>
      </c>
      <c r="S127" s="1">
        <v>557469.47083999997</v>
      </c>
      <c r="T127" s="1">
        <v>550072.44420000003</v>
      </c>
      <c r="U127" s="1">
        <v>595223.41911000002</v>
      </c>
      <c r="V127" s="1">
        <v>658436.77060000005</v>
      </c>
      <c r="W127" s="1">
        <v>717519.07365999999</v>
      </c>
      <c r="X127" s="1">
        <v>728779.55416000006</v>
      </c>
      <c r="Y127" s="1">
        <v>697922.16914999997</v>
      </c>
      <c r="Z127" s="1">
        <v>763819.49</v>
      </c>
      <c r="AA127" s="1">
        <v>843110.21</v>
      </c>
      <c r="AB127" s="1">
        <v>852969.36</v>
      </c>
      <c r="AC127" s="1">
        <v>940846.7</v>
      </c>
      <c r="AD127" s="1">
        <v>998510.48</v>
      </c>
    </row>
    <row r="128" spans="1:30">
      <c r="A128" s="1" t="s">
        <v>88</v>
      </c>
      <c r="B128" s="1" t="s">
        <v>69</v>
      </c>
      <c r="C128" s="1" t="s">
        <v>27</v>
      </c>
      <c r="D128" s="1" t="s">
        <v>27</v>
      </c>
      <c r="E128" s="1">
        <v>32774.160000000003</v>
      </c>
      <c r="F128" s="1">
        <v>35865.938999999998</v>
      </c>
      <c r="G128" s="1">
        <v>35447.093000000001</v>
      </c>
      <c r="H128" s="1">
        <v>38876.835249999996</v>
      </c>
      <c r="I128" s="1">
        <v>43848.780610000002</v>
      </c>
      <c r="J128" s="1">
        <v>51435.529000000002</v>
      </c>
      <c r="K128" s="1">
        <v>56751.942999999999</v>
      </c>
      <c r="L128" s="1">
        <v>59029.235000000001</v>
      </c>
      <c r="M128" s="1">
        <v>63046.114450000001</v>
      </c>
      <c r="N128" s="1">
        <v>55503.680209999999</v>
      </c>
      <c r="O128" s="1">
        <v>190189.31018999999</v>
      </c>
      <c r="P128" s="1">
        <v>201760.97839999999</v>
      </c>
      <c r="Q128" s="1">
        <v>216311.54801999999</v>
      </c>
      <c r="R128" s="1">
        <v>224899.85483</v>
      </c>
      <c r="S128" s="1">
        <v>234505.33064</v>
      </c>
      <c r="T128" s="1">
        <v>234497.40807999999</v>
      </c>
      <c r="U128" s="1">
        <v>233832.0699</v>
      </c>
      <c r="V128" s="1">
        <v>243696.83108</v>
      </c>
      <c r="W128" s="1">
        <v>254241.78383</v>
      </c>
      <c r="X128" s="1">
        <v>267465.88319000002</v>
      </c>
      <c r="Y128" s="1">
        <v>260092.12956</v>
      </c>
      <c r="Z128" s="1">
        <v>275847.51189999998</v>
      </c>
      <c r="AA128" s="1">
        <v>284869.92720999999</v>
      </c>
      <c r="AB128" s="1">
        <v>312710.26</v>
      </c>
      <c r="AC128" s="1">
        <v>340707.66</v>
      </c>
      <c r="AD128" s="1">
        <v>357600.46</v>
      </c>
    </row>
    <row r="129" spans="1:30">
      <c r="A129" s="1" t="s">
        <v>88</v>
      </c>
      <c r="B129" s="1" t="s">
        <v>67</v>
      </c>
      <c r="C129" s="1" t="s">
        <v>32</v>
      </c>
      <c r="D129" s="1" t="s">
        <v>32</v>
      </c>
      <c r="E129" s="1">
        <v>2966.4090000000001</v>
      </c>
      <c r="F129" s="1">
        <v>3514.558</v>
      </c>
      <c r="G129" s="1">
        <v>3874.491</v>
      </c>
      <c r="H129" s="1">
        <v>3885.8348500000002</v>
      </c>
      <c r="I129" s="1">
        <v>4666.9901499999996</v>
      </c>
      <c r="J129" s="1">
        <v>5387.8684000000003</v>
      </c>
      <c r="K129" s="1">
        <v>6024.9858899999999</v>
      </c>
      <c r="L129" s="1">
        <v>6636.6747400000004</v>
      </c>
      <c r="M129" s="1">
        <v>7037.0154899999998</v>
      </c>
      <c r="N129" s="1">
        <v>7071.6358899999996</v>
      </c>
      <c r="O129" s="1">
        <v>21481.661146679999</v>
      </c>
      <c r="P129" s="1">
        <v>25619.90194638</v>
      </c>
      <c r="Q129" s="1">
        <v>30339.042573890001</v>
      </c>
      <c r="R129" s="1">
        <v>28489.397239999998</v>
      </c>
      <c r="S129" s="1">
        <v>33829.797059999997</v>
      </c>
      <c r="T129" s="1">
        <v>42262.370439999999</v>
      </c>
      <c r="U129" s="1">
        <v>40039.738100000002</v>
      </c>
      <c r="V129" s="1">
        <v>41332.050490000001</v>
      </c>
      <c r="W129" s="1">
        <v>44139.775670000003</v>
      </c>
      <c r="X129" s="1">
        <v>45521.905279999999</v>
      </c>
      <c r="Y129" s="1">
        <v>37909.275390000003</v>
      </c>
      <c r="Z129" s="1">
        <v>37135.859859999997</v>
      </c>
      <c r="AA129" s="1">
        <v>36191.149709999998</v>
      </c>
      <c r="AB129" s="1">
        <v>38205.062680000003</v>
      </c>
      <c r="AC129" s="1">
        <v>39406.45362</v>
      </c>
      <c r="AD129" s="1"/>
    </row>
    <row r="130" spans="1:30">
      <c r="A130" s="1" t="s">
        <v>88</v>
      </c>
      <c r="B130" s="1" t="s">
        <v>12</v>
      </c>
      <c r="C130" s="1" t="s">
        <v>12</v>
      </c>
      <c r="D130" s="1" t="s">
        <v>12</v>
      </c>
      <c r="E130" s="1">
        <v>31.061</v>
      </c>
      <c r="F130" s="1">
        <v>40.292000000000002</v>
      </c>
      <c r="G130" s="1">
        <v>41.622</v>
      </c>
      <c r="H130" s="1">
        <v>348.22458999999998</v>
      </c>
      <c r="I130" s="1">
        <v>427.21499999999997</v>
      </c>
      <c r="J130" s="1">
        <v>259.94</v>
      </c>
      <c r="K130" s="1">
        <v>666.69686000000002</v>
      </c>
      <c r="L130" s="1">
        <v>847.60332000000005</v>
      </c>
      <c r="M130" s="1">
        <v>1087.7672700000001</v>
      </c>
      <c r="N130" s="1">
        <v>1289.7451100000001</v>
      </c>
      <c r="O130" s="1">
        <v>6433.17</v>
      </c>
      <c r="P130" s="1">
        <v>7080.25</v>
      </c>
      <c r="Q130" s="1">
        <v>8339.2800000000007</v>
      </c>
      <c r="R130" s="1">
        <v>8283.9</v>
      </c>
      <c r="S130" s="1">
        <v>9047.0300000000007</v>
      </c>
      <c r="T130" s="1">
        <v>9341.1</v>
      </c>
      <c r="U130" s="1">
        <v>9101.9599999999991</v>
      </c>
      <c r="V130" s="1">
        <v>9309.59</v>
      </c>
      <c r="W130" s="1">
        <v>10071.25</v>
      </c>
      <c r="X130" s="1">
        <v>10180.629999999999</v>
      </c>
      <c r="Y130" s="1">
        <v>9479.59</v>
      </c>
      <c r="Z130" s="1">
        <v>10215.75</v>
      </c>
      <c r="AA130" s="1">
        <v>10425.67</v>
      </c>
      <c r="AB130" s="1">
        <v>10702.43</v>
      </c>
      <c r="AC130" s="1">
        <v>11236.76</v>
      </c>
      <c r="AD130" s="1"/>
    </row>
    <row r="131" spans="1:30">
      <c r="A131" s="1" t="s">
        <v>88</v>
      </c>
      <c r="B131" s="1" t="s">
        <v>5</v>
      </c>
      <c r="C131" s="1" t="s">
        <v>5</v>
      </c>
      <c r="D131" s="1" t="s">
        <v>5</v>
      </c>
      <c r="E131" s="1">
        <v>4115.027</v>
      </c>
      <c r="F131" s="1">
        <v>4660.67</v>
      </c>
      <c r="G131" s="1">
        <v>4678.6829799999996</v>
      </c>
      <c r="H131" s="1">
        <v>5194.2741999999998</v>
      </c>
      <c r="I131" s="1">
        <v>5685.3424400000004</v>
      </c>
      <c r="J131" s="1">
        <v>6720.49197</v>
      </c>
      <c r="K131" s="1">
        <v>7643.4896799999997</v>
      </c>
      <c r="L131" s="1">
        <v>9074.0181499999999</v>
      </c>
      <c r="M131" s="1">
        <v>9827.2886600000002</v>
      </c>
      <c r="N131" s="1">
        <v>10604.27461</v>
      </c>
      <c r="O131" s="1">
        <v>59114.622000000003</v>
      </c>
      <c r="P131" s="1">
        <v>52687.607000000004</v>
      </c>
      <c r="Q131" s="1">
        <v>53859.406000000003</v>
      </c>
      <c r="R131" s="1">
        <v>52346.212</v>
      </c>
      <c r="S131" s="1">
        <v>53876.383000000002</v>
      </c>
      <c r="T131" s="1">
        <v>58201.042000000001</v>
      </c>
      <c r="U131" s="1">
        <v>58984.41</v>
      </c>
      <c r="V131" s="1">
        <v>65943.399999999994</v>
      </c>
      <c r="W131" s="1">
        <v>71180.25</v>
      </c>
      <c r="X131" s="1">
        <v>73939.199999999997</v>
      </c>
      <c r="Y131" s="1">
        <v>63075.79</v>
      </c>
      <c r="Z131" s="1">
        <v>68455.399999999994</v>
      </c>
      <c r="AA131" s="1">
        <v>68726.23</v>
      </c>
      <c r="AB131" s="1">
        <v>66118.210000000006</v>
      </c>
      <c r="AC131" s="1">
        <v>68696.97</v>
      </c>
      <c r="AD131" s="1"/>
    </row>
    <row r="132" spans="1:30">
      <c r="A132" s="1" t="s">
        <v>88</v>
      </c>
      <c r="B132" s="1" t="s">
        <v>7</v>
      </c>
      <c r="C132" s="1" t="s">
        <v>7</v>
      </c>
      <c r="D132" s="1" t="s">
        <v>7</v>
      </c>
      <c r="E132" s="1">
        <v>8510.3539999999994</v>
      </c>
      <c r="F132" s="1">
        <v>8212.116</v>
      </c>
      <c r="G132" s="1">
        <v>9327.7149399999998</v>
      </c>
      <c r="H132" s="1">
        <v>9885.46443</v>
      </c>
      <c r="I132" s="1">
        <v>7790.4093199999998</v>
      </c>
      <c r="J132" s="1">
        <v>8563.7735499999999</v>
      </c>
      <c r="K132" s="1">
        <v>9155.1410099999994</v>
      </c>
      <c r="L132" s="1">
        <v>9470.98855</v>
      </c>
      <c r="M132" s="1">
        <v>14102.09902</v>
      </c>
      <c r="N132" s="1">
        <v>14700.481739999999</v>
      </c>
      <c r="O132" s="1">
        <v>57311.391499999998</v>
      </c>
      <c r="P132" s="1">
        <v>65875.587180000002</v>
      </c>
      <c r="Q132" s="1">
        <v>88963.934630000003</v>
      </c>
      <c r="R132" s="1">
        <v>86553.21153</v>
      </c>
      <c r="S132" s="1">
        <v>91012.275410000002</v>
      </c>
      <c r="T132" s="1">
        <v>87855.872199999998</v>
      </c>
      <c r="U132" s="1">
        <v>88743.641610000006</v>
      </c>
      <c r="V132" s="1">
        <v>95546.284409999993</v>
      </c>
      <c r="W132" s="1">
        <v>109174.57296</v>
      </c>
      <c r="X132" s="1">
        <v>113608.50129</v>
      </c>
      <c r="Y132" s="1">
        <v>107106.59385999999</v>
      </c>
      <c r="Z132" s="1">
        <v>122697.45759999999</v>
      </c>
      <c r="AA132" s="1">
        <v>128068.75032000001</v>
      </c>
      <c r="AB132" s="1">
        <v>135986.56375999999</v>
      </c>
      <c r="AC132" s="1">
        <v>149769.95000000001</v>
      </c>
      <c r="AD132" s="1">
        <v>22850.19</v>
      </c>
    </row>
    <row r="133" spans="1:30">
      <c r="A133" s="1" t="s">
        <v>88</v>
      </c>
      <c r="B133" s="1" t="s">
        <v>13</v>
      </c>
      <c r="C133" s="1" t="s">
        <v>13</v>
      </c>
      <c r="D133" s="1" t="s">
        <v>13</v>
      </c>
      <c r="E133" s="1">
        <v>374.32400000000001</v>
      </c>
      <c r="F133" s="1">
        <v>508.791</v>
      </c>
      <c r="G133" s="1">
        <v>528.66999999999996</v>
      </c>
      <c r="H133" s="1">
        <v>532.93299999999999</v>
      </c>
      <c r="I133" s="1">
        <v>527.44223</v>
      </c>
      <c r="J133" s="1">
        <v>535.22924999999998</v>
      </c>
      <c r="K133" s="1">
        <v>588.86779999999999</v>
      </c>
      <c r="L133" s="1">
        <v>630.57953999999995</v>
      </c>
      <c r="M133" s="1">
        <v>677.66929000000005</v>
      </c>
      <c r="N133" s="1">
        <v>699.17079000000001</v>
      </c>
      <c r="O133" s="1">
        <v>10770.818740000001</v>
      </c>
      <c r="P133" s="1">
        <v>11490.15824139</v>
      </c>
      <c r="Q133" s="1">
        <v>13875.61598649</v>
      </c>
      <c r="R133" s="1">
        <v>15114.766879999999</v>
      </c>
      <c r="S133" s="1">
        <v>14568.39162</v>
      </c>
      <c r="T133" s="1">
        <v>15441.893410000001</v>
      </c>
      <c r="U133" s="1">
        <v>16091.539489999999</v>
      </c>
      <c r="V133" s="1">
        <v>16103.902169999999</v>
      </c>
      <c r="W133" s="1">
        <v>15426.339620000001</v>
      </c>
      <c r="X133" s="1">
        <v>15567.85527</v>
      </c>
      <c r="Y133" s="1">
        <v>11645.57087</v>
      </c>
      <c r="Z133" s="1">
        <v>12596.68694</v>
      </c>
      <c r="AA133" s="1">
        <v>12514.37379</v>
      </c>
      <c r="AB133" s="1">
        <v>11059.80636</v>
      </c>
      <c r="AC133" s="1">
        <v>5850.69</v>
      </c>
      <c r="AD133" s="1"/>
    </row>
    <row r="134" spans="1:30">
      <c r="A134" s="1" t="s">
        <v>88</v>
      </c>
      <c r="B134" s="1" t="s">
        <v>70</v>
      </c>
      <c r="C134" s="1" t="s">
        <v>46</v>
      </c>
      <c r="D134" s="1" t="s">
        <v>46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>
        <v>18301.161410000001</v>
      </c>
      <c r="R134" s="1">
        <v>19779.800810000001</v>
      </c>
      <c r="S134" s="1">
        <v>21603.61537</v>
      </c>
      <c r="T134" s="1">
        <v>21876.401529999999</v>
      </c>
      <c r="U134" s="1">
        <v>22762.322049999999</v>
      </c>
      <c r="V134" s="1">
        <v>23733.629580000001</v>
      </c>
      <c r="W134" s="1">
        <v>25323.149379999999</v>
      </c>
      <c r="X134" s="1">
        <v>29058.203280000002</v>
      </c>
      <c r="Y134" s="1">
        <v>30490.771909999999</v>
      </c>
      <c r="Z134" s="1">
        <v>36742.693059999998</v>
      </c>
      <c r="AA134" s="1">
        <v>39018.789400000001</v>
      </c>
      <c r="AB134" s="1">
        <v>40036.127399999998</v>
      </c>
      <c r="AC134" s="1">
        <v>40747.758500000004</v>
      </c>
      <c r="AD134" s="1">
        <v>41090.865899999997</v>
      </c>
    </row>
    <row r="135" spans="1:30">
      <c r="A135" s="1" t="s">
        <v>88</v>
      </c>
      <c r="B135" s="1" t="s">
        <v>76</v>
      </c>
      <c r="C135" s="1" t="s">
        <v>30</v>
      </c>
      <c r="D135" s="1" t="s">
        <v>30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>
      <c r="A136" s="1" t="s">
        <v>88</v>
      </c>
      <c r="B136" s="1" t="s">
        <v>71</v>
      </c>
      <c r="C136" s="1" t="s">
        <v>38</v>
      </c>
      <c r="D136" s="1" t="s">
        <v>38</v>
      </c>
      <c r="E136" s="1">
        <v>2955.3209999999999</v>
      </c>
      <c r="F136" s="1">
        <v>1687.9290000000001</v>
      </c>
      <c r="G136" s="1">
        <v>1764.7566300000001</v>
      </c>
      <c r="H136" s="1">
        <v>2385.8341</v>
      </c>
      <c r="I136" s="1">
        <v>4011.9749900000002</v>
      </c>
      <c r="J136" s="1">
        <v>4667.3594899999998</v>
      </c>
      <c r="K136" s="1">
        <v>4541.33968</v>
      </c>
      <c r="L136" s="1">
        <v>4901.2565500000001</v>
      </c>
      <c r="M136" s="1">
        <v>5955.4544400000004</v>
      </c>
      <c r="N136" s="1">
        <v>5804.8591900000001</v>
      </c>
      <c r="O136" s="1">
        <v>15105.779</v>
      </c>
      <c r="P136" s="1">
        <v>22884.602999999999</v>
      </c>
      <c r="Q136" s="1">
        <v>27897.861000000001</v>
      </c>
      <c r="R136" s="1">
        <v>22218.039000000001</v>
      </c>
      <c r="S136" s="1">
        <v>25072.228999999999</v>
      </c>
      <c r="T136" s="1">
        <v>21575.440999999999</v>
      </c>
      <c r="U136" s="1">
        <v>23428.114000000001</v>
      </c>
      <c r="V136" s="1">
        <v>23258.127</v>
      </c>
      <c r="W136" s="1">
        <v>24730.781999999999</v>
      </c>
      <c r="X136" s="1">
        <v>24468.227999999999</v>
      </c>
      <c r="Y136" s="1">
        <v>21659.802</v>
      </c>
      <c r="Z136" s="1">
        <v>23988.865089999999</v>
      </c>
      <c r="AA136" s="1">
        <v>23487.286270000001</v>
      </c>
      <c r="AB136" s="1">
        <v>23580.668720000001</v>
      </c>
      <c r="AC136" s="1">
        <v>23530.862000000001</v>
      </c>
      <c r="AD136" s="1"/>
    </row>
    <row r="137" spans="1:30">
      <c r="A137" s="1" t="s">
        <v>88</v>
      </c>
      <c r="B137" s="1" t="s">
        <v>56</v>
      </c>
      <c r="C137" s="1" t="s">
        <v>41</v>
      </c>
      <c r="D137" s="1" t="s">
        <v>41</v>
      </c>
      <c r="E137" s="1">
        <v>17710.648000000001</v>
      </c>
      <c r="F137" s="1">
        <v>18556.848999999998</v>
      </c>
      <c r="G137" s="1">
        <v>19397.666000000001</v>
      </c>
      <c r="H137" s="1">
        <v>18862.15177</v>
      </c>
      <c r="I137" s="1">
        <v>23140.024580000001</v>
      </c>
      <c r="J137" s="1">
        <v>26549.346249999999</v>
      </c>
      <c r="K137" s="1">
        <v>29379.25992</v>
      </c>
      <c r="L137" s="1">
        <v>35396.211360000001</v>
      </c>
      <c r="M137" s="1">
        <v>41622.432589999997</v>
      </c>
      <c r="N137" s="1">
        <v>42686.512779999997</v>
      </c>
      <c r="O137" s="1">
        <v>122546.49842</v>
      </c>
      <c r="P137" s="1">
        <v>130765.51848</v>
      </c>
      <c r="Q137" s="1">
        <v>143814.32394</v>
      </c>
      <c r="R137" s="1">
        <v>145391.15005</v>
      </c>
      <c r="S137" s="1">
        <v>156672.44206999999</v>
      </c>
      <c r="T137" s="1">
        <v>150276.35415999999</v>
      </c>
      <c r="U137" s="1">
        <v>146923.82295</v>
      </c>
      <c r="V137" s="1">
        <v>156909.03245</v>
      </c>
      <c r="W137" s="1">
        <v>173072.38110999999</v>
      </c>
      <c r="X137" s="1">
        <v>166432.46932</v>
      </c>
      <c r="Y137" s="1">
        <v>141711.04902000001</v>
      </c>
      <c r="Z137" s="1">
        <v>167677.23876000001</v>
      </c>
      <c r="AA137" s="1">
        <v>186490.72891999999</v>
      </c>
      <c r="AB137" s="1">
        <v>182912.03</v>
      </c>
      <c r="AC137" s="1">
        <v>205537.39</v>
      </c>
      <c r="AD137" s="1"/>
    </row>
    <row r="138" spans="1:30">
      <c r="A138" s="1" t="s">
        <v>88</v>
      </c>
      <c r="B138" s="1" t="s">
        <v>14</v>
      </c>
      <c r="C138" s="1" t="s">
        <v>14</v>
      </c>
      <c r="D138" s="1" t="s">
        <v>14</v>
      </c>
      <c r="E138" s="1">
        <v>11187.644</v>
      </c>
      <c r="F138" s="1">
        <v>10464.575999999999</v>
      </c>
      <c r="G138" s="1">
        <v>9233.0038600000007</v>
      </c>
      <c r="H138" s="1">
        <v>9995.5379099999991</v>
      </c>
      <c r="I138" s="1">
        <v>10113.43103</v>
      </c>
      <c r="J138" s="1">
        <v>11426.07524</v>
      </c>
      <c r="K138" s="1">
        <v>14003.08963</v>
      </c>
      <c r="L138" s="1">
        <v>13041.565619999999</v>
      </c>
      <c r="M138" s="1">
        <v>15257.645479999999</v>
      </c>
      <c r="N138" s="1">
        <v>15573.6302</v>
      </c>
      <c r="O138" s="1">
        <v>9740.4853773899995</v>
      </c>
      <c r="P138" s="1">
        <v>10153.36048085</v>
      </c>
      <c r="Q138" s="1">
        <v>9271.3615860499995</v>
      </c>
      <c r="R138" s="1">
        <v>5451.8470792799999</v>
      </c>
      <c r="S138" s="1">
        <v>11190.90476291</v>
      </c>
      <c r="T138" s="1">
        <v>8896.5661500000006</v>
      </c>
      <c r="U138" s="1">
        <v>9309.0774399999991</v>
      </c>
      <c r="V138" s="1">
        <v>5955.4403700000003</v>
      </c>
      <c r="W138" s="1">
        <v>6446.7788899999996</v>
      </c>
      <c r="X138" s="1">
        <v>4474.0625300000002</v>
      </c>
      <c r="Y138" s="1">
        <v>2793.7609000000002</v>
      </c>
      <c r="Z138" s="1">
        <v>4275.8621400000002</v>
      </c>
      <c r="AA138" s="1">
        <v>4778.4003400000001</v>
      </c>
      <c r="AB138" s="1">
        <v>4690.4994299999998</v>
      </c>
      <c r="AC138" s="1">
        <v>43588.34</v>
      </c>
      <c r="AD138" s="1"/>
    </row>
    <row r="139" spans="1:30">
      <c r="A139" s="1" t="s">
        <v>88</v>
      </c>
      <c r="B139" s="1" t="s">
        <v>81</v>
      </c>
      <c r="C139" s="1" t="s">
        <v>94</v>
      </c>
      <c r="D139" s="1" t="s">
        <v>14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>
        <v>11098.8</v>
      </c>
      <c r="AC139" s="1">
        <v>11598.5</v>
      </c>
      <c r="AD139" s="1"/>
    </row>
    <row r="140" spans="1:30">
      <c r="A140" s="1" t="s">
        <v>88</v>
      </c>
      <c r="B140" s="1" t="s">
        <v>4</v>
      </c>
      <c r="C140" s="1" t="s">
        <v>4</v>
      </c>
      <c r="D140" s="1" t="s">
        <v>4</v>
      </c>
      <c r="E140" s="1">
        <v>22428.237000000001</v>
      </c>
      <c r="F140" s="1">
        <v>21221.435000000001</v>
      </c>
      <c r="G140" s="1">
        <v>21055.813719999998</v>
      </c>
      <c r="H140" s="1">
        <v>16504.189009999998</v>
      </c>
      <c r="I140" s="1">
        <v>17667.228640000001</v>
      </c>
      <c r="J140" s="1">
        <v>19970.635020000002</v>
      </c>
      <c r="K140" s="1">
        <v>22030.687419999998</v>
      </c>
      <c r="L140" s="1">
        <v>24142.651870000002</v>
      </c>
      <c r="M140" s="1">
        <v>26224.430680000001</v>
      </c>
      <c r="N140" s="1">
        <v>27851.179960000001</v>
      </c>
      <c r="O140" s="1">
        <v>73158.331179999994</v>
      </c>
      <c r="P140" s="1">
        <v>122324.37573</v>
      </c>
      <c r="Q140" s="1">
        <v>150552.28550999999</v>
      </c>
      <c r="R140" s="1">
        <v>142392.02768</v>
      </c>
      <c r="S140" s="1">
        <v>96083.702950000006</v>
      </c>
      <c r="T140" s="1">
        <v>58906.877059999999</v>
      </c>
      <c r="U140" s="1">
        <v>42294.336239999997</v>
      </c>
      <c r="V140" s="1">
        <v>63680.857250000001</v>
      </c>
      <c r="W140" s="1">
        <v>67378.677630000006</v>
      </c>
      <c r="X140" s="1">
        <v>66683.147119999994</v>
      </c>
      <c r="Y140" s="1">
        <v>77890.365560000006</v>
      </c>
      <c r="Z140" s="1">
        <v>131990.47153000001</v>
      </c>
      <c r="AA140" s="1">
        <v>173960.28</v>
      </c>
      <c r="AB140" s="1">
        <v>179971.5</v>
      </c>
      <c r="AC140" s="1">
        <v>183072.84</v>
      </c>
      <c r="AD140" s="1"/>
    </row>
    <row r="141" spans="1:30">
      <c r="A141" s="1" t="s">
        <v>88</v>
      </c>
      <c r="B141" s="1" t="s">
        <v>60</v>
      </c>
      <c r="C141" s="1" t="s">
        <v>29</v>
      </c>
      <c r="D141" s="1" t="s">
        <v>29</v>
      </c>
      <c r="E141" s="1"/>
      <c r="F141" s="1"/>
      <c r="G141" s="1"/>
      <c r="H141" s="1">
        <v>8615.3834700000007</v>
      </c>
      <c r="I141" s="1">
        <v>12725.317999999999</v>
      </c>
      <c r="J141" s="1">
        <v>15829.268319999999</v>
      </c>
      <c r="K141" s="1">
        <v>16157.012269999999</v>
      </c>
      <c r="L141" s="1">
        <v>18832.774959999999</v>
      </c>
      <c r="M141" s="1">
        <v>22206.414519999998</v>
      </c>
      <c r="N141" s="1">
        <v>23912.200649999999</v>
      </c>
      <c r="O141" s="1">
        <v>147687.27632</v>
      </c>
      <c r="P141" s="1">
        <v>223476.23517</v>
      </c>
      <c r="Q141" s="1">
        <v>189998.6061</v>
      </c>
      <c r="R141" s="1">
        <v>213688.49163</v>
      </c>
      <c r="S141" s="1">
        <v>214272.77122</v>
      </c>
      <c r="T141" s="1">
        <v>221922.08624</v>
      </c>
      <c r="U141" s="1">
        <v>230373.56763000001</v>
      </c>
      <c r="V141" s="1">
        <v>229758.39721</v>
      </c>
      <c r="W141" s="1">
        <v>237566.50828000001</v>
      </c>
      <c r="X141" s="1">
        <v>249613.05324000001</v>
      </c>
      <c r="Y141" s="1">
        <v>244692.56696</v>
      </c>
      <c r="Z141" s="1">
        <v>264495.02633000002</v>
      </c>
      <c r="AA141" s="1">
        <v>294894.12</v>
      </c>
      <c r="AB141" s="1">
        <v>287211.5</v>
      </c>
      <c r="AC141" s="1">
        <v>297789.96000000002</v>
      </c>
      <c r="AD141" s="1">
        <v>230283.54</v>
      </c>
    </row>
    <row r="142" spans="1:30">
      <c r="A142" s="1" t="s">
        <v>88</v>
      </c>
      <c r="B142" s="1" t="s">
        <v>74</v>
      </c>
      <c r="C142" s="1" t="s">
        <v>37</v>
      </c>
      <c r="D142" s="1" t="s">
        <v>37</v>
      </c>
      <c r="E142" s="1">
        <v>1000.456</v>
      </c>
      <c r="F142" s="1">
        <v>1099.8130000000001</v>
      </c>
      <c r="G142" s="1">
        <v>1163.7</v>
      </c>
      <c r="H142" s="1">
        <v>1293.52</v>
      </c>
      <c r="I142" s="1">
        <v>1770.33053</v>
      </c>
      <c r="J142" s="1">
        <v>2088.65146</v>
      </c>
      <c r="K142" s="1">
        <v>2954.26586</v>
      </c>
      <c r="L142" s="1">
        <v>3124.5895700000001</v>
      </c>
      <c r="M142" s="1">
        <v>3238.47984</v>
      </c>
      <c r="N142" s="1">
        <v>3534.69659</v>
      </c>
      <c r="O142" s="1">
        <v>17691.915290000001</v>
      </c>
      <c r="P142" s="1">
        <v>20898.175490000001</v>
      </c>
      <c r="Q142" s="1">
        <v>22566.406579999999</v>
      </c>
      <c r="R142" s="1">
        <v>21973.252629999999</v>
      </c>
      <c r="S142" s="1">
        <v>20173.435399999998</v>
      </c>
      <c r="T142" s="1">
        <v>11624.174000000001</v>
      </c>
      <c r="U142" s="1">
        <v>10962.080599999999</v>
      </c>
      <c r="V142" s="1">
        <v>14151.90904</v>
      </c>
      <c r="W142" s="1">
        <v>21334.315190000001</v>
      </c>
      <c r="X142" s="1">
        <v>28576.24034</v>
      </c>
      <c r="Y142" s="1">
        <v>39638.024129999998</v>
      </c>
      <c r="Z142" s="1">
        <v>61716.377740000004</v>
      </c>
      <c r="AA142" s="1">
        <v>69916.187109999999</v>
      </c>
      <c r="AB142" s="1">
        <v>58526.407760000002</v>
      </c>
      <c r="AC142" s="1">
        <v>53037.113420000001</v>
      </c>
      <c r="AD142" s="1"/>
    </row>
    <row r="143" spans="1:30">
      <c r="A143" s="1" t="s">
        <v>88</v>
      </c>
      <c r="B143" s="1" t="s">
        <v>68</v>
      </c>
      <c r="C143" s="1" t="s">
        <v>25</v>
      </c>
      <c r="D143" s="1" t="s">
        <v>25</v>
      </c>
      <c r="E143" s="1">
        <v>4472.8869999999997</v>
      </c>
      <c r="F143" s="1">
        <v>4389.6109999999999</v>
      </c>
      <c r="G143" s="1">
        <v>4432.7643699999999</v>
      </c>
      <c r="H143" s="1">
        <v>4522.7488700000004</v>
      </c>
      <c r="I143" s="1">
        <v>4692.7454200000002</v>
      </c>
      <c r="J143" s="1">
        <v>5005.3311899999999</v>
      </c>
      <c r="K143" s="1">
        <v>8803.9527600000001</v>
      </c>
      <c r="L143" s="1">
        <v>5805.8425500000003</v>
      </c>
      <c r="M143" s="1">
        <v>5916.8289800000002</v>
      </c>
      <c r="N143" s="1">
        <v>8934.0088199999991</v>
      </c>
      <c r="O143" s="1">
        <v>60292.732349999998</v>
      </c>
      <c r="P143" s="1">
        <v>73712.172959999996</v>
      </c>
      <c r="Q143" s="1">
        <v>74301.045610000001</v>
      </c>
      <c r="R143" s="1">
        <v>72126.909759999995</v>
      </c>
      <c r="S143" s="1">
        <v>70422.31998</v>
      </c>
      <c r="T143" s="1">
        <v>63965.122750000002</v>
      </c>
      <c r="U143" s="1">
        <v>62063.177750000003</v>
      </c>
      <c r="V143" s="1">
        <v>68384.024300000005</v>
      </c>
      <c r="W143" s="1">
        <v>73747.281690000003</v>
      </c>
      <c r="X143" s="1">
        <v>74902.991880000001</v>
      </c>
      <c r="Y143" s="1">
        <v>64759.264179999998</v>
      </c>
      <c r="Z143" s="1">
        <v>78189.951629999996</v>
      </c>
      <c r="AA143" s="1">
        <v>89521.900009999998</v>
      </c>
      <c r="AB143" s="1">
        <v>97085.11</v>
      </c>
      <c r="AC143" s="1">
        <v>102712.42</v>
      </c>
      <c r="AD143" s="1">
        <v>93916.67</v>
      </c>
    </row>
    <row r="144" spans="1:30">
      <c r="A144" s="1" t="s">
        <v>88</v>
      </c>
      <c r="B144" s="1" t="s">
        <v>79</v>
      </c>
      <c r="C144" s="1" t="s">
        <v>92</v>
      </c>
      <c r="D144" s="1" t="s">
        <v>14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>
        <v>10384.99</v>
      </c>
      <c r="AB144" s="1">
        <v>11817</v>
      </c>
      <c r="AC144" s="1">
        <v>12427.68</v>
      </c>
      <c r="AD144" s="1"/>
    </row>
    <row r="145" spans="1:30">
      <c r="A145" s="1" t="s">
        <v>88</v>
      </c>
      <c r="B145" s="1" t="s">
        <v>73</v>
      </c>
      <c r="C145" s="1" t="s">
        <v>35</v>
      </c>
      <c r="D145" s="1" t="s">
        <v>35</v>
      </c>
      <c r="E145" s="1">
        <v>5113.0929999999998</v>
      </c>
      <c r="F145" s="1">
        <v>7512.3419999999996</v>
      </c>
      <c r="G145" s="1">
        <v>5712.5552699999998</v>
      </c>
      <c r="H145" s="1">
        <v>5655.1451699999998</v>
      </c>
      <c r="I145" s="1">
        <v>9729.9609099999998</v>
      </c>
      <c r="J145" s="1">
        <v>11531.358260000001</v>
      </c>
      <c r="K145" s="1">
        <v>11482.910169999999</v>
      </c>
      <c r="L145" s="1">
        <v>15561.73811</v>
      </c>
      <c r="M145" s="1">
        <v>13799.937690000001</v>
      </c>
      <c r="N145" s="1">
        <v>12141.81221</v>
      </c>
      <c r="O145" s="1">
        <v>68478.676600000006</v>
      </c>
      <c r="P145" s="1">
        <v>63987.087599999999</v>
      </c>
      <c r="Q145" s="1">
        <v>67749.277000000002</v>
      </c>
      <c r="R145" s="1">
        <v>67960.831099999996</v>
      </c>
      <c r="S145" s="1">
        <v>69157.543900000004</v>
      </c>
      <c r="T145" s="1">
        <v>67652.461599999995</v>
      </c>
      <c r="U145" s="1">
        <v>43552.57</v>
      </c>
      <c r="V145" s="1">
        <v>35945.31</v>
      </c>
      <c r="W145" s="1">
        <v>35034.199999999997</v>
      </c>
      <c r="X145" s="1">
        <v>32698.71</v>
      </c>
      <c r="Y145" s="1">
        <v>34641.279999999999</v>
      </c>
      <c r="Z145" s="1">
        <v>36410.480000000003</v>
      </c>
      <c r="AA145" s="1">
        <v>47790.25</v>
      </c>
      <c r="AB145" s="1">
        <v>44880.44</v>
      </c>
      <c r="AC145" s="1">
        <v>45665.1</v>
      </c>
      <c r="AD145" s="1"/>
    </row>
    <row r="146" spans="1:30">
      <c r="A146" s="1" t="s">
        <v>88</v>
      </c>
      <c r="B146" s="1" t="s">
        <v>58</v>
      </c>
      <c r="C146" s="1" t="s">
        <v>40</v>
      </c>
      <c r="D146" s="1" t="s">
        <v>40</v>
      </c>
      <c r="E146" s="1">
        <v>11523.138999999999</v>
      </c>
      <c r="F146" s="1">
        <v>11681.099</v>
      </c>
      <c r="G146" s="1">
        <v>12345.388999999999</v>
      </c>
      <c r="H146" s="1">
        <v>11401.232</v>
      </c>
      <c r="I146" s="1">
        <v>12581.204</v>
      </c>
      <c r="J146" s="1">
        <v>13589.043</v>
      </c>
      <c r="K146" s="1">
        <v>14188.093999999999</v>
      </c>
      <c r="L146" s="1">
        <v>15776.332</v>
      </c>
      <c r="M146" s="1">
        <v>17127.289000000001</v>
      </c>
      <c r="N146" s="1">
        <v>18641.312000000002</v>
      </c>
      <c r="O146" s="1">
        <v>80477.129400000005</v>
      </c>
      <c r="P146" s="1">
        <v>95539.792619999993</v>
      </c>
      <c r="Q146" s="1">
        <v>109755.329</v>
      </c>
      <c r="R146" s="1">
        <v>113060.86676</v>
      </c>
      <c r="S146" s="1">
        <v>124225.88691</v>
      </c>
      <c r="T146" s="1">
        <v>118377.73405</v>
      </c>
      <c r="U146" s="1">
        <v>117787.51109</v>
      </c>
      <c r="V146" s="1">
        <v>141251.29224000001</v>
      </c>
      <c r="W146" s="1">
        <v>150938.59354</v>
      </c>
      <c r="X146" s="1">
        <v>121741.67954</v>
      </c>
      <c r="Y146" s="1">
        <v>101631.87328</v>
      </c>
      <c r="Z146" s="1">
        <v>99144.645789999995</v>
      </c>
      <c r="AA146" s="1">
        <v>130453.28</v>
      </c>
      <c r="AB146" s="1">
        <v>123713.48</v>
      </c>
      <c r="AC146" s="1">
        <v>113342.81</v>
      </c>
      <c r="AD146" s="1"/>
    </row>
    <row r="147" spans="1:30">
      <c r="A147" s="1" t="s">
        <v>88</v>
      </c>
      <c r="B147" s="1" t="s">
        <v>78</v>
      </c>
      <c r="C147" s="1" t="s">
        <v>91</v>
      </c>
      <c r="D147" s="1" t="s">
        <v>33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>
        <v>121.59</v>
      </c>
      <c r="AC147" s="1">
        <v>374.96</v>
      </c>
      <c r="AD147" s="1">
        <v>122.51</v>
      </c>
    </row>
    <row r="148" spans="1:30">
      <c r="A148" s="1" t="s">
        <v>88</v>
      </c>
      <c r="B148" s="1" t="s">
        <v>61</v>
      </c>
      <c r="C148" s="1" t="s">
        <v>21</v>
      </c>
      <c r="D148" s="1" t="s">
        <v>21</v>
      </c>
      <c r="E148" s="1">
        <v>56746.514000000003</v>
      </c>
      <c r="F148" s="1">
        <v>73884.175000000003</v>
      </c>
      <c r="G148" s="1">
        <v>107847.03156</v>
      </c>
      <c r="H148" s="1">
        <v>117361.08352</v>
      </c>
      <c r="I148" s="1">
        <v>128075.5276</v>
      </c>
      <c r="J148" s="1">
        <v>130655.6603</v>
      </c>
      <c r="K148" s="1">
        <v>116659.76360000001</v>
      </c>
      <c r="L148" s="1">
        <v>108100.17819999999</v>
      </c>
      <c r="M148" s="1">
        <v>96365.582850000006</v>
      </c>
      <c r="N148" s="1">
        <v>92928.942509999993</v>
      </c>
      <c r="O148" s="1">
        <v>346048.36849999998</v>
      </c>
      <c r="P148" s="1">
        <v>398893.30501119001</v>
      </c>
      <c r="Q148" s="1">
        <v>464966.46526955999</v>
      </c>
      <c r="R148" s="1">
        <v>368279.95445999998</v>
      </c>
      <c r="S148" s="1">
        <v>381830.49716999999</v>
      </c>
      <c r="T148" s="1">
        <v>390857.04584999999</v>
      </c>
      <c r="U148" s="1">
        <v>391197.33909000002</v>
      </c>
      <c r="V148" s="1">
        <v>439013.44672000001</v>
      </c>
      <c r="W148" s="1">
        <v>485078.84776999999</v>
      </c>
      <c r="X148" s="1">
        <v>513431.13678</v>
      </c>
      <c r="Y148" s="1">
        <v>432249.83746000001</v>
      </c>
      <c r="Z148" s="1">
        <v>511346.46</v>
      </c>
      <c r="AA148" s="1">
        <v>556591.42714000004</v>
      </c>
      <c r="AB148" s="1">
        <v>654746.46505999996</v>
      </c>
      <c r="AC148" s="1">
        <v>753395.91159999999</v>
      </c>
      <c r="AD148" s="1"/>
    </row>
    <row r="149" spans="1:30">
      <c r="A149" s="1" t="s">
        <v>88</v>
      </c>
      <c r="B149" s="1" t="s">
        <v>64</v>
      </c>
      <c r="C149" s="1" t="s">
        <v>24</v>
      </c>
      <c r="D149" s="1" t="s">
        <v>24</v>
      </c>
      <c r="E149" s="1">
        <v>7018.6970000000001</v>
      </c>
      <c r="F149" s="1">
        <v>6507.7340000000004</v>
      </c>
      <c r="G149" s="1">
        <v>5861.8103199999996</v>
      </c>
      <c r="H149" s="1">
        <v>6419.1425799999997</v>
      </c>
      <c r="I149" s="1">
        <v>6360.8396499999999</v>
      </c>
      <c r="J149" s="1">
        <v>6527.9372000000003</v>
      </c>
      <c r="K149" s="1">
        <v>7651.2274399999997</v>
      </c>
      <c r="L149" s="1">
        <v>6717.8372099999997</v>
      </c>
      <c r="M149" s="1">
        <v>7865.6662999999999</v>
      </c>
      <c r="N149" s="1">
        <v>7435.5908499999996</v>
      </c>
      <c r="O149" s="1">
        <v>13450.17877</v>
      </c>
      <c r="P149" s="1">
        <v>24014.77176</v>
      </c>
      <c r="Q149" s="1">
        <v>19166.051930000001</v>
      </c>
      <c r="R149" s="1">
        <v>20621.767769999999</v>
      </c>
      <c r="S149" s="1">
        <v>12293.71025</v>
      </c>
      <c r="T149" s="1">
        <v>12546.782359999999</v>
      </c>
      <c r="U149" s="1">
        <v>9917.5026500000004</v>
      </c>
      <c r="V149" s="1">
        <v>9243.3084199999994</v>
      </c>
      <c r="W149" s="1">
        <v>10073.735339999999</v>
      </c>
      <c r="X149" s="1">
        <v>10796.665230000001</v>
      </c>
      <c r="Y149" s="1">
        <v>8514.4359199999999</v>
      </c>
      <c r="Z149" s="1">
        <v>7643.0195400000002</v>
      </c>
      <c r="AA149" s="1">
        <v>7714.75</v>
      </c>
      <c r="AB149" s="1">
        <v>12545.1</v>
      </c>
      <c r="AC149" s="1">
        <v>23320.25</v>
      </c>
      <c r="AD149" s="1"/>
    </row>
    <row r="150" spans="1:30">
      <c r="A150" s="1" t="s">
        <v>88</v>
      </c>
      <c r="B150" s="1" t="s">
        <v>65</v>
      </c>
      <c r="C150" s="1" t="s">
        <v>31</v>
      </c>
      <c r="D150" s="1" t="s">
        <v>31</v>
      </c>
      <c r="E150" s="1">
        <v>2766.413</v>
      </c>
      <c r="F150" s="1">
        <v>2790.9029999999998</v>
      </c>
      <c r="G150" s="1">
        <v>2877.32251</v>
      </c>
      <c r="H150" s="1">
        <v>2902.7537600000001</v>
      </c>
      <c r="I150" s="1">
        <v>3175.6738700000001</v>
      </c>
      <c r="J150" s="1">
        <v>3564.2230399999999</v>
      </c>
      <c r="K150" s="1">
        <v>3751.12491</v>
      </c>
      <c r="L150" s="1">
        <v>3943.1127200000001</v>
      </c>
      <c r="M150" s="1">
        <v>4101.5944600000003</v>
      </c>
      <c r="N150" s="1">
        <v>4264.7645300000004</v>
      </c>
      <c r="O150" s="1">
        <v>36180.682150000001</v>
      </c>
      <c r="P150" s="1">
        <v>29628.86578</v>
      </c>
      <c r="Q150" s="1">
        <v>30802.615330000001</v>
      </c>
      <c r="R150" s="1">
        <v>28266.501799999998</v>
      </c>
      <c r="S150" s="1">
        <v>25478.013800000001</v>
      </c>
      <c r="T150" s="1">
        <v>25478.811839999998</v>
      </c>
      <c r="U150" s="1">
        <v>26759.041590000001</v>
      </c>
      <c r="V150" s="1">
        <v>27087.78602</v>
      </c>
      <c r="W150" s="1">
        <v>29821.90756</v>
      </c>
      <c r="X150" s="1">
        <v>34449.962659999997</v>
      </c>
      <c r="Y150" s="1">
        <v>33625.751839999997</v>
      </c>
      <c r="Z150" s="1">
        <v>36161.248760000002</v>
      </c>
      <c r="AA150" s="1">
        <v>44202.479059999998</v>
      </c>
      <c r="AB150" s="1">
        <v>43470.705860000002</v>
      </c>
      <c r="AC150" s="1">
        <v>45151</v>
      </c>
      <c r="AD150" s="1">
        <v>39884.370000000003</v>
      </c>
    </row>
    <row r="151" spans="1:30">
      <c r="A151" s="1" t="s">
        <v>88</v>
      </c>
      <c r="B151" s="1" t="s">
        <v>77</v>
      </c>
      <c r="C151" s="1" t="s">
        <v>33</v>
      </c>
      <c r="D151" s="1" t="s">
        <v>33</v>
      </c>
      <c r="E151" s="1"/>
      <c r="F151" s="1"/>
      <c r="G151" s="1">
        <v>3079.8013700000001</v>
      </c>
      <c r="H151" s="1">
        <v>2848.3788399999999</v>
      </c>
      <c r="I151" s="1">
        <v>2688.60322</v>
      </c>
      <c r="J151" s="1">
        <v>3229.0072599999999</v>
      </c>
      <c r="K151" s="1">
        <v>3806.4672999999998</v>
      </c>
      <c r="L151" s="1">
        <v>3862.25758</v>
      </c>
      <c r="M151" s="1">
        <v>3706.6280700000002</v>
      </c>
      <c r="N151" s="1">
        <v>2826.5937100000001</v>
      </c>
      <c r="O151" s="1">
        <v>17733.976309999998</v>
      </c>
      <c r="P151" s="1">
        <v>8823.6910805799998</v>
      </c>
      <c r="Q151" s="1">
        <v>17904.817462949999</v>
      </c>
      <c r="R151" s="1">
        <v>11284.07633</v>
      </c>
      <c r="S151" s="1">
        <v>14663.04074</v>
      </c>
      <c r="T151" s="1">
        <v>22093.10039</v>
      </c>
      <c r="U151" s="1">
        <v>21200.5658</v>
      </c>
      <c r="V151" s="1">
        <v>24686.93622</v>
      </c>
      <c r="W151" s="1">
        <v>26803.068350000001</v>
      </c>
      <c r="X151" s="1">
        <v>24952.184450000001</v>
      </c>
      <c r="Y151" s="1">
        <v>21835.640670000001</v>
      </c>
      <c r="Z151" s="1">
        <v>16082.19292</v>
      </c>
      <c r="AA151" s="1">
        <v>28778.68</v>
      </c>
      <c r="AB151" s="1">
        <v>21312.61</v>
      </c>
      <c r="AC151" s="1">
        <v>19617.599999999999</v>
      </c>
      <c r="AD151" s="1"/>
    </row>
    <row r="152" spans="1:30">
      <c r="A152" s="1" t="s">
        <v>88</v>
      </c>
      <c r="B152" s="1" t="s">
        <v>75</v>
      </c>
      <c r="C152" s="1" t="s">
        <v>34</v>
      </c>
      <c r="D152" s="1" t="s">
        <v>34</v>
      </c>
      <c r="E152" s="1"/>
      <c r="F152" s="1"/>
      <c r="G152" s="1"/>
      <c r="H152" s="1"/>
      <c r="I152" s="1">
        <v>434.09172000000001</v>
      </c>
      <c r="J152" s="1">
        <v>447.91665999999998</v>
      </c>
      <c r="K152" s="1">
        <v>529.72577000000001</v>
      </c>
      <c r="L152" s="1">
        <v>642.71533999999997</v>
      </c>
      <c r="M152" s="1">
        <v>787.74311999999998</v>
      </c>
      <c r="N152" s="1">
        <v>863.38283000000001</v>
      </c>
      <c r="O152" s="1">
        <v>10861.96075</v>
      </c>
      <c r="P152" s="1">
        <v>12134.38825</v>
      </c>
      <c r="Q152" s="1">
        <v>12769.76505</v>
      </c>
      <c r="R152" s="1">
        <v>12225.509700000001</v>
      </c>
      <c r="S152" s="1">
        <v>11947.35973</v>
      </c>
      <c r="T152" s="1">
        <v>12490.81538</v>
      </c>
      <c r="U152" s="1">
        <v>12811.53681</v>
      </c>
      <c r="V152" s="1">
        <v>12728.588</v>
      </c>
      <c r="W152" s="1">
        <v>13587.223239999999</v>
      </c>
      <c r="X152" s="1">
        <v>14055.158170000001</v>
      </c>
      <c r="Y152" s="1">
        <v>12048.595649999999</v>
      </c>
      <c r="Z152" s="1">
        <v>12470.875099999999</v>
      </c>
      <c r="AA152" s="1">
        <v>12651.064200000001</v>
      </c>
      <c r="AB152" s="1">
        <v>12628.897779999999</v>
      </c>
      <c r="AC152" s="1">
        <v>12983</v>
      </c>
      <c r="AD152" s="1"/>
    </row>
    <row r="153" spans="1:30">
      <c r="A153" s="1" t="s">
        <v>88</v>
      </c>
      <c r="B153" s="1" t="s">
        <v>57</v>
      </c>
      <c r="C153" s="1" t="s">
        <v>39</v>
      </c>
      <c r="D153" s="1" t="s">
        <v>39</v>
      </c>
      <c r="E153" s="1">
        <v>1558.7460000000001</v>
      </c>
      <c r="F153" s="1">
        <v>1346.567</v>
      </c>
      <c r="G153" s="1">
        <v>1323.04773</v>
      </c>
      <c r="H153" s="1">
        <v>1676.9590800000001</v>
      </c>
      <c r="I153" s="1">
        <v>1682.8625500000001</v>
      </c>
      <c r="J153" s="1">
        <v>2317.8528500000002</v>
      </c>
      <c r="K153" s="1">
        <v>2528.8991299999998</v>
      </c>
      <c r="L153" s="1">
        <v>3471.9662899999998</v>
      </c>
      <c r="M153" s="1">
        <v>5016.8079799999996</v>
      </c>
      <c r="N153" s="1">
        <v>4912.0758299999998</v>
      </c>
      <c r="O153" s="1">
        <v>72440.347110000002</v>
      </c>
      <c r="P153" s="1">
        <v>81334.430489999999</v>
      </c>
      <c r="Q153" s="1">
        <v>131909.61248000001</v>
      </c>
      <c r="R153" s="1">
        <v>55388.116719999998</v>
      </c>
      <c r="S153" s="1">
        <v>92359.372629999998</v>
      </c>
      <c r="T153" s="1">
        <v>85079.151629999993</v>
      </c>
      <c r="U153" s="1">
        <v>85154.256359999999</v>
      </c>
      <c r="V153" s="1">
        <v>88634.019629999995</v>
      </c>
      <c r="W153" s="1">
        <v>91965.664730000004</v>
      </c>
      <c r="X153" s="1">
        <v>93840.484840000005</v>
      </c>
      <c r="Y153" s="1">
        <v>72768.678109999993</v>
      </c>
      <c r="Z153" s="1">
        <v>74090.668189999997</v>
      </c>
      <c r="AA153" s="1">
        <v>77800.39</v>
      </c>
      <c r="AB153" s="1">
        <v>83412.62</v>
      </c>
      <c r="AC153" s="1">
        <v>96791</v>
      </c>
      <c r="AD153" s="1"/>
    </row>
    <row r="154" spans="1:30">
      <c r="A154" s="1" t="s">
        <v>86</v>
      </c>
      <c r="B154" s="1" t="s">
        <v>3</v>
      </c>
      <c r="C154" s="1" t="s">
        <v>3</v>
      </c>
      <c r="D154" s="1" t="s">
        <v>3</v>
      </c>
      <c r="E154" s="1">
        <v>16716.0263204404</v>
      </c>
      <c r="F154" s="1">
        <v>21622.0387263749</v>
      </c>
      <c r="G154" s="1">
        <v>22800.601030078298</v>
      </c>
      <c r="H154" s="1">
        <v>23184.579965746401</v>
      </c>
      <c r="I154" s="1">
        <v>19058.364145399399</v>
      </c>
      <c r="J154" s="1">
        <v>14808.400473788901</v>
      </c>
      <c r="K154" s="1">
        <v>12855.960028232001</v>
      </c>
      <c r="L154" s="1">
        <v>11556.9792606264</v>
      </c>
      <c r="M154" s="1">
        <v>10595.482083565499</v>
      </c>
      <c r="N154" s="1">
        <v>9763.9788895223501</v>
      </c>
      <c r="O154" s="1">
        <v>8982.9478948300002</v>
      </c>
      <c r="P154" s="1">
        <v>9065.2928082199996</v>
      </c>
      <c r="Q154" s="1">
        <v>9282.18365189</v>
      </c>
      <c r="R154" s="1">
        <v>8838.3307369400009</v>
      </c>
      <c r="S154" s="1">
        <v>8164.79133078</v>
      </c>
      <c r="T154" s="1">
        <v>6474.7336861699996</v>
      </c>
      <c r="U154" s="1">
        <v>6096.6013449000002</v>
      </c>
      <c r="V154" s="1">
        <v>5921.4392112200003</v>
      </c>
      <c r="W154" s="1">
        <v>6410.2629468100004</v>
      </c>
      <c r="X154" s="1">
        <v>6339.5102857900001</v>
      </c>
      <c r="Y154" s="1">
        <v>6058.6518190200004</v>
      </c>
      <c r="Z154" s="1">
        <v>6212.0881908800002</v>
      </c>
      <c r="AA154" s="1">
        <v>6472.3632161300002</v>
      </c>
      <c r="AB154" s="1">
        <v>6371.29</v>
      </c>
      <c r="AC154" s="1">
        <v>6559.19</v>
      </c>
      <c r="AD154" s="1">
        <v>6863.09</v>
      </c>
    </row>
    <row r="155" spans="1:30">
      <c r="A155" s="1" t="s">
        <v>86</v>
      </c>
      <c r="B155" s="1" t="s">
        <v>11</v>
      </c>
      <c r="C155" s="1" t="s">
        <v>11</v>
      </c>
      <c r="D155" s="1" t="s">
        <v>11</v>
      </c>
      <c r="E155" s="1">
        <v>3561.77065507424</v>
      </c>
      <c r="F155" s="1">
        <v>3746.50673541284</v>
      </c>
      <c r="G155" s="1">
        <v>3933.8769999982201</v>
      </c>
      <c r="H155" s="1">
        <v>4121.5306392543098</v>
      </c>
      <c r="I155" s="1">
        <v>4274.3448166087001</v>
      </c>
      <c r="J155" s="1">
        <v>4492.7612024548198</v>
      </c>
      <c r="K155" s="1">
        <v>4688.6225155968204</v>
      </c>
      <c r="L155" s="1">
        <v>5479.4022730331899</v>
      </c>
      <c r="M155" s="1">
        <v>5868.0064592938897</v>
      </c>
      <c r="N155" s="1">
        <v>6186.7052544538101</v>
      </c>
      <c r="O155" s="1">
        <v>6562.9388009300001</v>
      </c>
      <c r="P155" s="1">
        <v>6620.8750493899997</v>
      </c>
      <c r="Q155" s="1">
        <v>6966.9058068000004</v>
      </c>
      <c r="R155" s="1">
        <v>7565.2478620000002</v>
      </c>
      <c r="S155" s="1">
        <v>8237.3907391499997</v>
      </c>
      <c r="T155" s="1">
        <v>8808.5075902099998</v>
      </c>
      <c r="U155" s="1">
        <v>9104.6761954899994</v>
      </c>
      <c r="V155" s="1">
        <v>9177.6974195900002</v>
      </c>
      <c r="W155" s="1">
        <v>9700.3222839200007</v>
      </c>
      <c r="X155" s="1">
        <v>10359.040020869999</v>
      </c>
      <c r="Y155" s="1">
        <v>9694.7824200499999</v>
      </c>
      <c r="Z155" s="1">
        <v>9701.4521584600006</v>
      </c>
      <c r="AA155" s="1">
        <v>10240.402057740001</v>
      </c>
      <c r="AB155" s="1">
        <v>10478.81</v>
      </c>
      <c r="AC155" s="1">
        <v>11022.25</v>
      </c>
      <c r="AD155" s="1">
        <v>11456.66</v>
      </c>
    </row>
    <row r="156" spans="1:30">
      <c r="A156" s="1" t="s">
        <v>86</v>
      </c>
      <c r="B156" s="1" t="s">
        <v>59</v>
      </c>
      <c r="C156" s="1" t="s">
        <v>28</v>
      </c>
      <c r="D156" s="1" t="s">
        <v>28</v>
      </c>
      <c r="E156" s="1">
        <v>6059.8009505729997</v>
      </c>
      <c r="F156" s="1">
        <v>6303.6399351078198</v>
      </c>
      <c r="G156" s="1">
        <v>6604.2932444963899</v>
      </c>
      <c r="H156" s="1">
        <v>6780.4286772303703</v>
      </c>
      <c r="I156" s="1">
        <v>7152.7130313136604</v>
      </c>
      <c r="J156" s="1">
        <v>7585.9527966782698</v>
      </c>
      <c r="K156" s="1">
        <v>7919.9891347456596</v>
      </c>
      <c r="L156" s="1">
        <v>8363.9902780701796</v>
      </c>
      <c r="M156" s="1">
        <v>8604.1168522568605</v>
      </c>
      <c r="N156" s="1">
        <v>8845.5479896941906</v>
      </c>
      <c r="O156" s="1">
        <v>9174.6677861999997</v>
      </c>
      <c r="P156" s="1">
        <v>9515.7573144300004</v>
      </c>
      <c r="Q156" s="1">
        <v>9804.8777906600008</v>
      </c>
      <c r="R156" s="1">
        <v>10143.283583930001</v>
      </c>
      <c r="S156" s="1">
        <v>10270.40522821</v>
      </c>
      <c r="T156" s="1">
        <v>10400.63960986</v>
      </c>
      <c r="U156" s="1">
        <v>10680.47308982</v>
      </c>
      <c r="V156" s="1">
        <v>11337.679962149999</v>
      </c>
      <c r="W156" s="1">
        <v>11787.736601029999</v>
      </c>
      <c r="X156" s="1">
        <v>11928.979007399999</v>
      </c>
      <c r="Y156" s="1">
        <v>11259.123379070001</v>
      </c>
      <c r="Z156" s="1">
        <v>11873.923271240001</v>
      </c>
      <c r="AA156" s="1">
        <v>12484.719308469999</v>
      </c>
      <c r="AB156" s="1">
        <v>12724</v>
      </c>
      <c r="AC156" s="1">
        <v>12223.71</v>
      </c>
      <c r="AD156" s="1">
        <v>12752.62</v>
      </c>
    </row>
    <row r="157" spans="1:30">
      <c r="A157" s="1" t="s">
        <v>86</v>
      </c>
      <c r="B157" s="1" t="s">
        <v>10</v>
      </c>
      <c r="C157" s="1" t="s">
        <v>10</v>
      </c>
      <c r="D157" s="1" t="s">
        <v>10</v>
      </c>
      <c r="E157" s="1">
        <v>57254.4228881456</v>
      </c>
      <c r="F157" s="1">
        <v>60080.8839278468</v>
      </c>
      <c r="G157" s="1">
        <v>61704.152661783199</v>
      </c>
      <c r="H157" s="1">
        <v>63805.978396668601</v>
      </c>
      <c r="I157" s="1">
        <v>66609.927612621803</v>
      </c>
      <c r="J157" s="1">
        <v>69553.744980512303</v>
      </c>
      <c r="K157" s="1">
        <v>73329.674895626798</v>
      </c>
      <c r="L157" s="1">
        <v>98929.189663279307</v>
      </c>
      <c r="M157" s="1">
        <v>102004.90957534</v>
      </c>
      <c r="N157" s="1">
        <v>104256.080644107</v>
      </c>
      <c r="O157" s="1">
        <v>107806.55578159</v>
      </c>
      <c r="P157" s="1">
        <v>113462.34564237</v>
      </c>
      <c r="Q157" s="1">
        <v>118846.20026884</v>
      </c>
      <c r="R157" s="1">
        <v>128133.43125114001</v>
      </c>
      <c r="S157" s="1">
        <v>130305.90284171001</v>
      </c>
      <c r="T157" s="1">
        <v>134907.46896016001</v>
      </c>
      <c r="U157" s="1">
        <v>139073.54034807</v>
      </c>
      <c r="V157" s="1">
        <v>144219.14632520999</v>
      </c>
      <c r="W157" s="1">
        <v>149425.0582157</v>
      </c>
      <c r="X157" s="1">
        <v>154760.71533934001</v>
      </c>
      <c r="Y157" s="1">
        <v>147538.55817361001</v>
      </c>
      <c r="Z157" s="1">
        <v>155028.02232039999</v>
      </c>
      <c r="AA157" s="1">
        <v>160639.45952926</v>
      </c>
      <c r="AB157" s="1">
        <v>169934.38</v>
      </c>
      <c r="AC157" s="1">
        <v>178397.54</v>
      </c>
      <c r="AD157" s="1">
        <v>187979.82</v>
      </c>
    </row>
    <row r="158" spans="1:30">
      <c r="A158" s="1" t="s">
        <v>86</v>
      </c>
      <c r="B158" s="1" t="s">
        <v>6</v>
      </c>
      <c r="C158" s="1" t="s">
        <v>6</v>
      </c>
      <c r="D158" s="1" t="s">
        <v>6</v>
      </c>
      <c r="E158" s="1">
        <v>948.349864633273</v>
      </c>
      <c r="F158" s="1">
        <v>995.97329492369397</v>
      </c>
      <c r="G158" s="1">
        <v>1096.9860267701799</v>
      </c>
      <c r="H158" s="1">
        <v>1162.95780832013</v>
      </c>
      <c r="I158" s="1">
        <v>1229.9120097596699</v>
      </c>
      <c r="J158" s="1">
        <v>1251.0643223192301</v>
      </c>
      <c r="K158" s="1">
        <v>1318.34509006238</v>
      </c>
      <c r="L158" s="1">
        <v>1394.9090362358199</v>
      </c>
      <c r="M158" s="1">
        <v>1497.6092746644999</v>
      </c>
      <c r="N158" s="1">
        <v>1586.7044572785001</v>
      </c>
      <c r="O158" s="1">
        <v>1722.87710799</v>
      </c>
      <c r="P158" s="1">
        <v>1841.5347865000001</v>
      </c>
      <c r="Q158" s="1">
        <v>1989.8886218099999</v>
      </c>
      <c r="R158" s="1">
        <v>2137.7213400000001</v>
      </c>
      <c r="S158" s="1">
        <v>2274.24609358</v>
      </c>
      <c r="T158" s="1">
        <v>2381.1511629000001</v>
      </c>
      <c r="U158" s="1">
        <v>2517.7903689999998</v>
      </c>
      <c r="V158" s="1">
        <v>2625.19100187</v>
      </c>
      <c r="W158" s="1">
        <v>2718.54986263</v>
      </c>
      <c r="X158" s="1">
        <v>2781.3171828999998</v>
      </c>
      <c r="Y158" s="1">
        <v>2713.4425054100002</v>
      </c>
      <c r="Z158" s="1">
        <v>2777.6255725800002</v>
      </c>
      <c r="AA158" s="1">
        <v>2863.1505775099999</v>
      </c>
      <c r="AB158" s="1">
        <v>2915.7</v>
      </c>
      <c r="AC158" s="1">
        <v>2959</v>
      </c>
      <c r="AD158" s="1">
        <v>3237.55</v>
      </c>
    </row>
    <row r="159" spans="1:30">
      <c r="A159" s="1" t="s">
        <v>86</v>
      </c>
      <c r="B159" s="1" t="s">
        <v>62</v>
      </c>
      <c r="C159" s="1" t="s">
        <v>22</v>
      </c>
      <c r="D159" s="1" t="s">
        <v>22</v>
      </c>
      <c r="E159" s="1">
        <v>125083.29343749399</v>
      </c>
      <c r="F159" s="1">
        <v>130257.602731409</v>
      </c>
      <c r="G159" s="1">
        <v>137369.34033219199</v>
      </c>
      <c r="H159" s="1">
        <v>144917.183680127</v>
      </c>
      <c r="I159" s="1">
        <v>154199.666719256</v>
      </c>
      <c r="J159" s="1">
        <v>161595.31106672701</v>
      </c>
      <c r="K159" s="1">
        <v>168897.49285937499</v>
      </c>
      <c r="L159" s="1">
        <v>184641.06125555999</v>
      </c>
      <c r="M159" s="1">
        <v>193991.88406178</v>
      </c>
      <c r="N159" s="1">
        <v>201335.40330286001</v>
      </c>
      <c r="O159" s="1">
        <v>215156.47455454999</v>
      </c>
      <c r="P159" s="1">
        <v>226325.6168132</v>
      </c>
      <c r="Q159" s="1">
        <v>241528.85593163999</v>
      </c>
      <c r="R159" s="1">
        <v>254694.11895</v>
      </c>
      <c r="S159" s="1">
        <v>271526.77318000002</v>
      </c>
      <c r="T159" s="1">
        <v>284306.59245</v>
      </c>
      <c r="U159" s="1">
        <v>295960.83646000002</v>
      </c>
      <c r="V159" s="1">
        <v>308770.2219</v>
      </c>
      <c r="W159" s="1">
        <v>322143.28727999999</v>
      </c>
      <c r="X159" s="1">
        <v>338470.98320000002</v>
      </c>
      <c r="Y159" s="1">
        <v>325617.66571999999</v>
      </c>
      <c r="Z159" s="1">
        <v>333239.62896</v>
      </c>
      <c r="AA159" s="1">
        <v>346169.65253999998</v>
      </c>
      <c r="AB159" s="1">
        <v>361111.03</v>
      </c>
      <c r="AC159" s="1">
        <v>373837.73</v>
      </c>
      <c r="AD159" s="1">
        <v>389026.51</v>
      </c>
    </row>
    <row r="160" spans="1:30">
      <c r="A160" s="1" t="s">
        <v>86</v>
      </c>
      <c r="B160" s="1" t="s">
        <v>66</v>
      </c>
      <c r="C160" s="1" t="s">
        <v>26</v>
      </c>
      <c r="D160" s="1" t="s">
        <v>26</v>
      </c>
      <c r="E160" s="1">
        <v>6396.9497316064098</v>
      </c>
      <c r="F160" s="1">
        <v>6167.2992328122</v>
      </c>
      <c r="G160" s="1">
        <v>6295.5790883712698</v>
      </c>
      <c r="H160" s="1">
        <v>6680.8684814923199</v>
      </c>
      <c r="I160" s="1">
        <v>7192.6230061311198</v>
      </c>
      <c r="J160" s="1">
        <v>7298.5349442503702</v>
      </c>
      <c r="K160" s="1">
        <v>7119.6627749784802</v>
      </c>
      <c r="L160" s="1">
        <v>7642.9976953710902</v>
      </c>
      <c r="M160" s="1">
        <v>7927.4729977585903</v>
      </c>
      <c r="N160" s="1">
        <v>8250.3026319930104</v>
      </c>
      <c r="O160" s="1">
        <v>8684.4117600000009</v>
      </c>
      <c r="P160" s="1">
        <v>8814.6424900000002</v>
      </c>
      <c r="Q160" s="1">
        <v>9289.8794425600008</v>
      </c>
      <c r="R160" s="1">
        <v>10011.827388739999</v>
      </c>
      <c r="S160" s="1">
        <v>11244.005444259999</v>
      </c>
      <c r="T160" s="1">
        <v>11976.409329489999</v>
      </c>
      <c r="U160" s="1">
        <v>12868.85885035</v>
      </c>
      <c r="V160" s="1">
        <v>14020.767784199999</v>
      </c>
      <c r="W160" s="1">
        <v>14736.82295625</v>
      </c>
      <c r="X160" s="1">
        <v>15388.50339493</v>
      </c>
      <c r="Y160" s="1">
        <v>15381.423827619999</v>
      </c>
      <c r="Z160" s="1">
        <v>16182.94659453</v>
      </c>
      <c r="AA160" s="1">
        <v>16913.219694880001</v>
      </c>
      <c r="AB160" s="1">
        <v>17882.650000000001</v>
      </c>
      <c r="AC160" s="1">
        <v>17829.34</v>
      </c>
      <c r="AD160" s="1">
        <v>19200.580000000002</v>
      </c>
    </row>
    <row r="161" spans="1:30">
      <c r="A161" s="1" t="s">
        <v>86</v>
      </c>
      <c r="B161" s="1" t="s">
        <v>80</v>
      </c>
      <c r="C161" s="1" t="s">
        <v>93</v>
      </c>
      <c r="D161" s="1" t="s">
        <v>14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>
        <v>237.49</v>
      </c>
      <c r="AB161" s="1">
        <v>241.69</v>
      </c>
      <c r="AC161" s="1">
        <v>252.68</v>
      </c>
      <c r="AD161" s="1">
        <v>267.77999999999997</v>
      </c>
    </row>
    <row r="162" spans="1:30">
      <c r="A162" s="1" t="s">
        <v>86</v>
      </c>
      <c r="B162" s="1" t="s">
        <v>72</v>
      </c>
      <c r="C162" s="1" t="s">
        <v>36</v>
      </c>
      <c r="D162" s="1" t="s">
        <v>36</v>
      </c>
      <c r="E162" s="1">
        <v>2037.1753485766801</v>
      </c>
      <c r="F162" s="1">
        <v>2116.0335718290398</v>
      </c>
      <c r="G162" s="1">
        <v>2199.3070654305202</v>
      </c>
      <c r="H162" s="1">
        <v>2282.9808859364698</v>
      </c>
      <c r="I162" s="1">
        <v>2341.430158224</v>
      </c>
      <c r="J162" s="1">
        <v>2430.9613154132799</v>
      </c>
      <c r="K162" s="1">
        <v>2530.4415937533799</v>
      </c>
      <c r="L162" s="1">
        <v>2793.9730406368699</v>
      </c>
      <c r="M162" s="1">
        <v>2972.37201067863</v>
      </c>
      <c r="N162" s="1">
        <v>3223.3035466731399</v>
      </c>
      <c r="O162" s="1">
        <v>3423.5299563899998</v>
      </c>
      <c r="P162" s="1">
        <v>3591.5149895200002</v>
      </c>
      <c r="Q162" s="1">
        <v>3788.5176219999998</v>
      </c>
      <c r="R162" s="1">
        <v>3956.8079687999998</v>
      </c>
      <c r="S162" s="1">
        <v>4274.1028887700004</v>
      </c>
      <c r="T162" s="1">
        <v>8119.8280315499997</v>
      </c>
      <c r="U162" s="1">
        <v>10958.22705978</v>
      </c>
      <c r="V162" s="1">
        <v>12185.03410121</v>
      </c>
      <c r="W162" s="1">
        <v>25136.284820000001</v>
      </c>
      <c r="X162" s="1">
        <v>29483.93951</v>
      </c>
      <c r="Y162" s="1">
        <v>36464.638850000003</v>
      </c>
      <c r="Z162" s="1">
        <v>43618.209510000001</v>
      </c>
      <c r="AA162" s="1">
        <v>56659.016109999997</v>
      </c>
      <c r="AB162" s="1">
        <v>71086.179999999993</v>
      </c>
      <c r="AC162" s="1">
        <v>84675.78</v>
      </c>
      <c r="AD162" s="1">
        <v>96632.25</v>
      </c>
    </row>
    <row r="163" spans="1:30">
      <c r="A163" s="1" t="s">
        <v>86</v>
      </c>
      <c r="B163" s="1" t="s">
        <v>9</v>
      </c>
      <c r="C163" s="1" t="s">
        <v>9</v>
      </c>
      <c r="D163" s="1" t="s">
        <v>9</v>
      </c>
      <c r="E163" s="1">
        <v>7148.2600014527297</v>
      </c>
      <c r="F163" s="1">
        <v>7257.0560113621004</v>
      </c>
      <c r="G163" s="1">
        <v>7461.5416119295296</v>
      </c>
      <c r="H163" s="1">
        <v>7670.5215167976603</v>
      </c>
      <c r="I163" s="1">
        <v>7919.7124148414396</v>
      </c>
      <c r="J163" s="1">
        <v>8125.73928732268</v>
      </c>
      <c r="K163" s="1">
        <v>8184.9090268420796</v>
      </c>
      <c r="L163" s="1">
        <v>8339.4682507075504</v>
      </c>
      <c r="M163" s="1">
        <v>8453.3719398097692</v>
      </c>
      <c r="N163" s="1">
        <v>8612.4107552651494</v>
      </c>
      <c r="O163" s="1">
        <v>9215.5000473799992</v>
      </c>
      <c r="P163" s="1">
        <v>9711.7917078400005</v>
      </c>
      <c r="Q163" s="1">
        <v>9435.8880499099996</v>
      </c>
      <c r="R163" s="1">
        <v>10084.21325864</v>
      </c>
      <c r="S163" s="1">
        <v>10469.74861144</v>
      </c>
      <c r="T163" s="1">
        <v>10693.035740900001</v>
      </c>
      <c r="U163" s="1">
        <v>11234.472642029999</v>
      </c>
      <c r="V163" s="1">
        <v>11878.96242636</v>
      </c>
      <c r="W163" s="1">
        <v>12486.85537997</v>
      </c>
      <c r="X163" s="1">
        <v>13200.727122390001</v>
      </c>
      <c r="Y163" s="1">
        <v>12632.114360449999</v>
      </c>
      <c r="Z163" s="1">
        <v>12670.456670240001</v>
      </c>
      <c r="AA163" s="1">
        <v>12890.38982303</v>
      </c>
      <c r="AB163" s="1">
        <v>13441.25</v>
      </c>
      <c r="AC163" s="1">
        <v>13950.28</v>
      </c>
      <c r="AD163" s="1">
        <v>14559.81</v>
      </c>
    </row>
    <row r="164" spans="1:30">
      <c r="A164" s="1" t="s">
        <v>86</v>
      </c>
      <c r="B164" s="1" t="s">
        <v>8</v>
      </c>
      <c r="C164" s="1" t="s">
        <v>8</v>
      </c>
      <c r="D164" s="1" t="s">
        <v>8</v>
      </c>
      <c r="E164" s="1">
        <v>101712.600640178</v>
      </c>
      <c r="F164" s="1">
        <v>105685.517031027</v>
      </c>
      <c r="G164" s="1">
        <v>110531.953105395</v>
      </c>
      <c r="H164" s="1">
        <v>116117.784838493</v>
      </c>
      <c r="I164" s="1">
        <v>122782.18925993799</v>
      </c>
      <c r="J164" s="1">
        <v>129010.594046684</v>
      </c>
      <c r="K164" s="1">
        <v>135423.38722376601</v>
      </c>
      <c r="L164" s="1">
        <v>141658.51920145299</v>
      </c>
      <c r="M164" s="1">
        <v>147134.145085444</v>
      </c>
      <c r="N164" s="1">
        <v>147336.66465497899</v>
      </c>
      <c r="O164" s="1">
        <v>152651.31044323</v>
      </c>
      <c r="P164" s="1">
        <v>156240.34515804</v>
      </c>
      <c r="Q164" s="1">
        <v>160011.69597549</v>
      </c>
      <c r="R164" s="1">
        <v>168558.60819952999</v>
      </c>
      <c r="S164" s="1">
        <v>177774.89043964999</v>
      </c>
      <c r="T164" s="1">
        <v>186802.72283006</v>
      </c>
      <c r="U164" s="1">
        <v>193625.44061975999</v>
      </c>
      <c r="V164" s="1">
        <v>207917.77907531001</v>
      </c>
      <c r="W164" s="1">
        <v>219717.89264167001</v>
      </c>
      <c r="X164" s="1">
        <v>217039.97493436001</v>
      </c>
      <c r="Y164" s="1">
        <v>194551.94054556001</v>
      </c>
      <c r="Z164" s="1">
        <v>216044.58945835999</v>
      </c>
      <c r="AA164" s="1">
        <v>228741.59052319999</v>
      </c>
      <c r="AB164" s="1">
        <v>232990.98</v>
      </c>
      <c r="AC164" s="1">
        <v>235645.99</v>
      </c>
      <c r="AD164" s="1">
        <v>239531.41</v>
      </c>
    </row>
    <row r="165" spans="1:30">
      <c r="A165" s="1" t="s">
        <v>86</v>
      </c>
      <c r="B165" s="1" t="s">
        <v>63</v>
      </c>
      <c r="C165" s="1" t="s">
        <v>23</v>
      </c>
      <c r="D165" s="1" t="s">
        <v>23</v>
      </c>
      <c r="E165" s="1">
        <v>203552.897548493</v>
      </c>
      <c r="F165" s="1">
        <v>208331.15947082001</v>
      </c>
      <c r="G165" s="1">
        <v>206803.532237045</v>
      </c>
      <c r="H165" s="1">
        <v>216021.658140769</v>
      </c>
      <c r="I165" s="1">
        <v>227429.46364831799</v>
      </c>
      <c r="J165" s="1">
        <v>237923.198067049</v>
      </c>
      <c r="K165" s="1">
        <v>249655.44814086499</v>
      </c>
      <c r="L165" s="1">
        <v>261553.18223029401</v>
      </c>
      <c r="M165" s="1">
        <v>272946.87965690001</v>
      </c>
      <c r="N165" s="1">
        <v>280579.50352617202</v>
      </c>
      <c r="O165" s="1">
        <v>292708.38728923001</v>
      </c>
      <c r="P165" s="1">
        <v>306072.35816599999</v>
      </c>
      <c r="Q165" s="1">
        <v>326681.76644462999</v>
      </c>
      <c r="R165" s="1">
        <v>345794.55625492998</v>
      </c>
      <c r="S165" s="1">
        <v>372316.28716255003</v>
      </c>
      <c r="T165" s="1">
        <v>393272.9535</v>
      </c>
      <c r="U165" s="1">
        <v>410741.31390000001</v>
      </c>
      <c r="V165" s="1">
        <v>434114.16019999998</v>
      </c>
      <c r="W165" s="1">
        <v>466908.03707109002</v>
      </c>
      <c r="X165" s="1">
        <v>498740.30100852001</v>
      </c>
      <c r="Y165" s="1">
        <v>488376.55735641997</v>
      </c>
      <c r="Z165" s="1">
        <v>504889.13293303002</v>
      </c>
      <c r="AA165" s="1">
        <v>536394.0331911</v>
      </c>
      <c r="AB165" s="1">
        <v>558448.65</v>
      </c>
      <c r="AC165" s="1">
        <v>588598.81999999995</v>
      </c>
      <c r="AD165" s="1">
        <v>623803.36</v>
      </c>
    </row>
    <row r="166" spans="1:30">
      <c r="A166" s="1" t="s">
        <v>86</v>
      </c>
      <c r="B166" s="1" t="s">
        <v>69</v>
      </c>
      <c r="C166" s="1" t="s">
        <v>27</v>
      </c>
      <c r="D166" s="1" t="s">
        <v>27</v>
      </c>
      <c r="E166" s="1">
        <v>107457.237156085</v>
      </c>
      <c r="F166" s="1">
        <v>111307.360085069</v>
      </c>
      <c r="G166" s="1">
        <v>106784.557075196</v>
      </c>
      <c r="H166" s="1">
        <v>106074.857504878</v>
      </c>
      <c r="I166" s="1">
        <v>105255.810901783</v>
      </c>
      <c r="J166" s="1">
        <v>104663.60434277701</v>
      </c>
      <c r="K166" s="1">
        <v>102047.804849546</v>
      </c>
      <c r="L166" s="1">
        <v>98105.205809392603</v>
      </c>
      <c r="M166" s="1">
        <v>101266.81767939701</v>
      </c>
      <c r="N166" s="1">
        <v>97244.921871306404</v>
      </c>
      <c r="O166" s="1">
        <v>94522.352749919999</v>
      </c>
      <c r="P166" s="1">
        <v>90960.159528010001</v>
      </c>
      <c r="Q166" s="1">
        <v>87788.849919689994</v>
      </c>
      <c r="R166" s="1">
        <v>86201.392440230004</v>
      </c>
      <c r="S166" s="1">
        <v>86590.088788160007</v>
      </c>
      <c r="T166" s="1">
        <v>88889.323107169999</v>
      </c>
      <c r="U166" s="1">
        <v>93740.627365530003</v>
      </c>
      <c r="V166" s="1">
        <v>96364.829230820003</v>
      </c>
      <c r="W166" s="1">
        <v>96797.538804719996</v>
      </c>
      <c r="X166" s="1">
        <v>96802.393708830001</v>
      </c>
      <c r="Y166" s="1">
        <v>93909.766911109997</v>
      </c>
      <c r="Z166" s="1">
        <v>96209.521213970002</v>
      </c>
      <c r="AA166" s="1">
        <v>99658.389506749998</v>
      </c>
      <c r="AB166" s="1">
        <v>104363.86</v>
      </c>
      <c r="AC166" s="1">
        <v>104526.59</v>
      </c>
      <c r="AD166" s="1">
        <v>117780.03</v>
      </c>
    </row>
    <row r="167" spans="1:30">
      <c r="A167" s="1" t="s">
        <v>86</v>
      </c>
      <c r="B167" s="1" t="s">
        <v>67</v>
      </c>
      <c r="C167" s="1" t="s">
        <v>32</v>
      </c>
      <c r="D167" s="1" t="s">
        <v>32</v>
      </c>
      <c r="E167" s="1">
        <v>393.989711782727</v>
      </c>
      <c r="F167" s="1">
        <v>408.87630971968002</v>
      </c>
      <c r="G167" s="1">
        <v>427.970810241187</v>
      </c>
      <c r="H167" s="1">
        <v>447.87728382474597</v>
      </c>
      <c r="I167" s="1">
        <v>468.58731891651399</v>
      </c>
      <c r="J167" s="1">
        <v>483.07219683260303</v>
      </c>
      <c r="K167" s="1">
        <v>504.389564331754</v>
      </c>
      <c r="L167" s="1">
        <v>522.23503200855998</v>
      </c>
      <c r="M167" s="1">
        <v>522.44967542797701</v>
      </c>
      <c r="N167" s="1">
        <v>542.97963439602495</v>
      </c>
      <c r="O167" s="1">
        <v>555.17918481000004</v>
      </c>
      <c r="P167" s="1">
        <v>587.14664848999996</v>
      </c>
      <c r="Q167" s="1">
        <v>622.39240021000001</v>
      </c>
      <c r="R167" s="1">
        <v>652.63165824999999</v>
      </c>
      <c r="S167" s="1">
        <v>674.62077638999995</v>
      </c>
      <c r="T167" s="1">
        <v>709.88955725000005</v>
      </c>
      <c r="U167" s="1">
        <v>745.23241541000004</v>
      </c>
      <c r="V167" s="1">
        <v>799.91953472</v>
      </c>
      <c r="W167" s="1">
        <v>841.21388944</v>
      </c>
      <c r="X167" s="1">
        <v>916.99833276000004</v>
      </c>
      <c r="Y167" s="1">
        <v>867.29821457000003</v>
      </c>
      <c r="Z167" s="1">
        <v>823.08478052999999</v>
      </c>
      <c r="AA167" s="1">
        <v>877.99233765999998</v>
      </c>
      <c r="AB167" s="1">
        <v>944.42</v>
      </c>
      <c r="AC167" s="1">
        <v>1005.91</v>
      </c>
      <c r="AD167" s="1">
        <v>1114.02</v>
      </c>
    </row>
    <row r="168" spans="1:30">
      <c r="A168" s="1" t="s">
        <v>86</v>
      </c>
      <c r="B168" s="1" t="s">
        <v>12</v>
      </c>
      <c r="C168" s="1" t="s">
        <v>12</v>
      </c>
      <c r="D168" s="1" t="s">
        <v>12</v>
      </c>
      <c r="E168" s="1">
        <v>507.20261483157498</v>
      </c>
      <c r="F168" s="1">
        <v>439.49469193346403</v>
      </c>
      <c r="G168" s="1">
        <v>463.69096091875701</v>
      </c>
      <c r="H168" s="1">
        <v>486.78811320776703</v>
      </c>
      <c r="I168" s="1">
        <v>511.84205449345598</v>
      </c>
      <c r="J168" s="1">
        <v>536.02920817466804</v>
      </c>
      <c r="K168" s="1">
        <v>504.25172966946798</v>
      </c>
      <c r="L168" s="1">
        <v>531.43594975580095</v>
      </c>
      <c r="M168" s="1">
        <v>560.515686765243</v>
      </c>
      <c r="N168" s="1">
        <v>581.04150181458704</v>
      </c>
      <c r="O168" s="1">
        <v>632.21660918999999</v>
      </c>
      <c r="P168" s="1">
        <v>681.36329942999998</v>
      </c>
      <c r="Q168" s="1">
        <v>737.13025913000001</v>
      </c>
      <c r="R168" s="1">
        <v>796.02112371999999</v>
      </c>
      <c r="S168" s="1">
        <v>843.80307001000006</v>
      </c>
      <c r="T168" s="1">
        <v>883.12926426000001</v>
      </c>
      <c r="U168" s="1">
        <v>941.22857280999995</v>
      </c>
      <c r="V168" s="1">
        <v>973.80069279999998</v>
      </c>
      <c r="W168" s="1">
        <v>1039.70115274</v>
      </c>
      <c r="X168" s="1">
        <v>1159.77910879</v>
      </c>
      <c r="Y168" s="1">
        <v>1172.89001377</v>
      </c>
      <c r="Z168" s="1">
        <v>1235.2933371500001</v>
      </c>
      <c r="AA168" s="1">
        <v>1332.26835521</v>
      </c>
      <c r="AB168" s="1">
        <v>1338.4</v>
      </c>
      <c r="AC168" s="1">
        <v>1381.61</v>
      </c>
      <c r="AD168" s="1">
        <v>1607.63</v>
      </c>
    </row>
    <row r="169" spans="1:30">
      <c r="A169" s="1" t="s">
        <v>86</v>
      </c>
      <c r="B169" s="1" t="s">
        <v>5</v>
      </c>
      <c r="C169" s="1" t="s">
        <v>5</v>
      </c>
      <c r="D169" s="1" t="s">
        <v>5</v>
      </c>
      <c r="E169" s="1">
        <v>6864.9161535473704</v>
      </c>
      <c r="F169" s="1">
        <v>6767.7578824406701</v>
      </c>
      <c r="G169" s="1">
        <v>7450.7370225683599</v>
      </c>
      <c r="H169" s="1">
        <v>7626.4691239391996</v>
      </c>
      <c r="I169" s="1">
        <v>7897.3401330850602</v>
      </c>
      <c r="J169" s="1">
        <v>8205.3688930922508</v>
      </c>
      <c r="K169" s="1">
        <v>8569.9459019610695</v>
      </c>
      <c r="L169" s="1">
        <v>9036.6532745550194</v>
      </c>
      <c r="M169" s="1">
        <v>9545.8507536549296</v>
      </c>
      <c r="N169" s="1">
        <v>9912.7558665707493</v>
      </c>
      <c r="O169" s="1">
        <v>10357.580683190001</v>
      </c>
      <c r="P169" s="1">
        <v>11217.08612588</v>
      </c>
      <c r="Q169" s="1">
        <v>12023.508822149999</v>
      </c>
      <c r="R169" s="1">
        <v>13005.65026378</v>
      </c>
      <c r="S169" s="1">
        <v>13630.734898639999</v>
      </c>
      <c r="T169" s="1">
        <v>13948.630013460001</v>
      </c>
      <c r="U169" s="1">
        <v>14267.73687594</v>
      </c>
      <c r="V169" s="1">
        <v>14640.66749652</v>
      </c>
      <c r="W169" s="1">
        <v>15137.368644390001</v>
      </c>
      <c r="X169" s="1">
        <v>15495.294735879999</v>
      </c>
      <c r="Y169" s="1">
        <v>15513.674761390001</v>
      </c>
      <c r="Z169" s="1">
        <v>15727.35241662</v>
      </c>
      <c r="AA169" s="1">
        <v>16213.29330761</v>
      </c>
      <c r="AB169" s="1">
        <v>16892.88</v>
      </c>
      <c r="AC169" s="1">
        <v>17691.810000000001</v>
      </c>
      <c r="AD169" s="1">
        <v>18594.59</v>
      </c>
    </row>
    <row r="170" spans="1:30">
      <c r="A170" s="1" t="s">
        <v>86</v>
      </c>
      <c r="B170" s="1" t="s">
        <v>7</v>
      </c>
      <c r="C170" s="1" t="s">
        <v>7</v>
      </c>
      <c r="D170" s="1" t="s">
        <v>7</v>
      </c>
      <c r="E170" s="1">
        <v>15403.4012335199</v>
      </c>
      <c r="F170" s="1">
        <v>16377.7650368718</v>
      </c>
      <c r="G170" s="1">
        <v>17145.979897725501</v>
      </c>
      <c r="H170" s="1">
        <v>17844.597700822898</v>
      </c>
      <c r="I170" s="1">
        <v>18678.933262880601</v>
      </c>
      <c r="J170" s="1">
        <v>19454.108978305801</v>
      </c>
      <c r="K170" s="1">
        <v>20329.543316172902</v>
      </c>
      <c r="L170" s="1">
        <v>21616.840170331401</v>
      </c>
      <c r="M170" s="1">
        <v>23018.2185146673</v>
      </c>
      <c r="N170" s="1">
        <v>24371.460099108699</v>
      </c>
      <c r="O170" s="1">
        <v>25860.87858425</v>
      </c>
      <c r="P170" s="1">
        <v>27146.426778050001</v>
      </c>
      <c r="Q170" s="1">
        <v>29677.128611029999</v>
      </c>
      <c r="R170" s="1">
        <v>31973.9347719</v>
      </c>
      <c r="S170" s="1">
        <v>33388.067697999999</v>
      </c>
      <c r="T170" s="1">
        <v>35913.820522839997</v>
      </c>
      <c r="U170" s="1">
        <v>37326.314759009998</v>
      </c>
      <c r="V170" s="1">
        <v>39633.960824410002</v>
      </c>
      <c r="W170" s="1">
        <v>43218.1385801</v>
      </c>
      <c r="X170" s="1">
        <v>46778.086935450003</v>
      </c>
      <c r="Y170" s="1">
        <v>44336.2771861</v>
      </c>
      <c r="Z170" s="1">
        <v>46415.318207700002</v>
      </c>
      <c r="AA170" s="1">
        <v>46589.526963709999</v>
      </c>
      <c r="AB170" s="1">
        <v>47257.57</v>
      </c>
      <c r="AC170" s="1">
        <v>51493.88</v>
      </c>
      <c r="AD170" s="1">
        <v>54750.3</v>
      </c>
    </row>
    <row r="171" spans="1:30">
      <c r="A171" s="1" t="s">
        <v>86</v>
      </c>
      <c r="B171" s="1" t="s">
        <v>13</v>
      </c>
      <c r="C171" s="1" t="s">
        <v>13</v>
      </c>
      <c r="D171" s="1" t="s">
        <v>13</v>
      </c>
      <c r="E171" s="1">
        <v>747.93598041923701</v>
      </c>
      <c r="F171" s="1">
        <v>695.154658300704</v>
      </c>
      <c r="G171" s="1">
        <v>696.70198290058204</v>
      </c>
      <c r="H171" s="1">
        <v>710.14831159922505</v>
      </c>
      <c r="I171" s="1">
        <v>734.64845030346498</v>
      </c>
      <c r="J171" s="1">
        <v>761.24274219729398</v>
      </c>
      <c r="K171" s="1">
        <v>800.97960243039495</v>
      </c>
      <c r="L171" s="1">
        <v>900.40369987543204</v>
      </c>
      <c r="M171" s="1">
        <v>941.32621007128296</v>
      </c>
      <c r="N171" s="1">
        <v>1006.96479207551</v>
      </c>
      <c r="O171" s="1">
        <v>1011.02946634</v>
      </c>
      <c r="P171" s="1">
        <v>1060.6893635500001</v>
      </c>
      <c r="Q171" s="1">
        <v>1121.1796030800001</v>
      </c>
      <c r="R171" s="1">
        <v>1186.1738878900001</v>
      </c>
      <c r="S171" s="1">
        <v>1286.0632455099999</v>
      </c>
      <c r="T171" s="1">
        <v>1336.3179496600001</v>
      </c>
      <c r="U171" s="1">
        <v>1430.36377969</v>
      </c>
      <c r="V171" s="1">
        <v>1498.38026887</v>
      </c>
      <c r="W171" s="1">
        <v>1607.48218791</v>
      </c>
      <c r="X171" s="1">
        <v>1650.65543086</v>
      </c>
      <c r="Y171" s="1">
        <v>1612.5860801399999</v>
      </c>
      <c r="Z171" s="1">
        <v>1798.5894400899999</v>
      </c>
      <c r="AA171" s="1">
        <v>2019.62171216</v>
      </c>
      <c r="AB171" s="1">
        <v>2350.16</v>
      </c>
      <c r="AC171" s="1">
        <v>2444.1</v>
      </c>
      <c r="AD171" s="1">
        <v>2574.9299999999998</v>
      </c>
    </row>
    <row r="172" spans="1:30">
      <c r="A172" s="1" t="s">
        <v>86</v>
      </c>
      <c r="B172" s="1" t="s">
        <v>70</v>
      </c>
      <c r="C172" s="1" t="s">
        <v>46</v>
      </c>
      <c r="D172" s="1" t="s">
        <v>46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3572.2342716899998</v>
      </c>
      <c r="P172" s="1">
        <v>3764.73221036</v>
      </c>
      <c r="Q172" s="1">
        <v>3967.91331266</v>
      </c>
      <c r="R172" s="1">
        <v>4224.9839148000001</v>
      </c>
      <c r="S172" s="1">
        <v>4459.0541617500003</v>
      </c>
      <c r="T172" s="1">
        <v>4732.38774749</v>
      </c>
      <c r="U172" s="1">
        <v>5030</v>
      </c>
      <c r="V172" s="1">
        <v>5308</v>
      </c>
      <c r="W172" s="1">
        <v>5371.0179193200001</v>
      </c>
      <c r="X172" s="1">
        <v>5629.8983632600002</v>
      </c>
      <c r="Y172" s="1">
        <v>5413.4689240400003</v>
      </c>
      <c r="Z172" s="1">
        <v>5555.3654135699999</v>
      </c>
      <c r="AA172" s="1">
        <v>5768.3120640500001</v>
      </c>
      <c r="AB172" s="1">
        <v>5879.46</v>
      </c>
      <c r="AC172" s="1">
        <v>6188.51</v>
      </c>
      <c r="AD172" s="1">
        <v>6744.61</v>
      </c>
    </row>
    <row r="173" spans="1:30">
      <c r="A173" s="1" t="s">
        <v>86</v>
      </c>
      <c r="B173" s="1" t="s">
        <v>76</v>
      </c>
      <c r="C173" s="1" t="s">
        <v>30</v>
      </c>
      <c r="D173" s="1" t="s">
        <v>30</v>
      </c>
      <c r="E173" s="1">
        <v>677.05032162351699</v>
      </c>
      <c r="F173" s="1">
        <v>683.66113203348402</v>
      </c>
      <c r="G173" s="1">
        <v>709.61165893748898</v>
      </c>
      <c r="H173" s="1">
        <v>721.51565427295998</v>
      </c>
      <c r="I173" s="1">
        <v>756.17123500757202</v>
      </c>
      <c r="J173" s="1">
        <v>785.03817217102301</v>
      </c>
      <c r="K173" s="1">
        <v>818.79807215018798</v>
      </c>
      <c r="L173" s="1">
        <v>878.08926597320101</v>
      </c>
      <c r="M173" s="1">
        <v>850.29973596713398</v>
      </c>
      <c r="N173" s="1">
        <v>806.25568649005504</v>
      </c>
      <c r="O173" s="1">
        <v>850.29973599000004</v>
      </c>
      <c r="P173" s="1">
        <v>870.29814334000002</v>
      </c>
      <c r="Q173" s="1">
        <v>898.58548614999995</v>
      </c>
      <c r="R173" s="1">
        <v>956.81316719999995</v>
      </c>
      <c r="S173" s="1">
        <v>1054.45142246</v>
      </c>
      <c r="T173" s="1">
        <v>1093.65193204</v>
      </c>
      <c r="U173" s="1">
        <v>1260.2943090199999</v>
      </c>
      <c r="V173" s="1">
        <v>1665.2368609600001</v>
      </c>
      <c r="W173" s="1">
        <v>1971.8691923700001</v>
      </c>
      <c r="X173" s="1">
        <v>1996.0027742499999</v>
      </c>
      <c r="Y173" s="1">
        <v>3213.1723550000002</v>
      </c>
      <c r="Z173" s="1">
        <v>5842.5814490000002</v>
      </c>
      <c r="AA173" s="1">
        <v>10326.441930000001</v>
      </c>
      <c r="AB173" s="1">
        <v>14877.8</v>
      </c>
      <c r="AC173" s="1">
        <v>18662.810000000001</v>
      </c>
      <c r="AD173" s="1">
        <v>30352.67</v>
      </c>
    </row>
    <row r="174" spans="1:30">
      <c r="A174" s="1" t="s">
        <v>86</v>
      </c>
      <c r="B174" s="1" t="s">
        <v>71</v>
      </c>
      <c r="C174" s="1" t="s">
        <v>38</v>
      </c>
      <c r="D174" s="1" t="s">
        <v>38</v>
      </c>
      <c r="E174" s="1">
        <v>3430.8379666443798</v>
      </c>
      <c r="F174" s="1">
        <v>3634.4889243136699</v>
      </c>
      <c r="G174" s="1">
        <v>3738.13863897171</v>
      </c>
      <c r="H174" s="1">
        <v>3892.6440177949298</v>
      </c>
      <c r="I174" s="1">
        <v>3739.3918482968102</v>
      </c>
      <c r="J174" s="1">
        <v>3822.8707206999502</v>
      </c>
      <c r="K174" s="1">
        <v>4176.1902304587202</v>
      </c>
      <c r="L174" s="1">
        <v>4440.3607443563196</v>
      </c>
      <c r="M174" s="1">
        <v>4860.2168198255604</v>
      </c>
      <c r="N174" s="1">
        <v>5201.4851518402802</v>
      </c>
      <c r="O174" s="1">
        <v>5711.8521700000001</v>
      </c>
      <c r="P174" s="1">
        <v>6116.2481399999997</v>
      </c>
      <c r="Q174" s="1">
        <v>6562.0109429399999</v>
      </c>
      <c r="R174" s="1">
        <v>6902.3066129400004</v>
      </c>
      <c r="S174" s="1">
        <v>7138.1720148200002</v>
      </c>
      <c r="T174" s="1">
        <v>7338.08296109</v>
      </c>
      <c r="U174" s="1">
        <v>7417.0694802300004</v>
      </c>
      <c r="V174" s="1">
        <v>8010.1899960399996</v>
      </c>
      <c r="W174" s="1">
        <v>8362.1671850300008</v>
      </c>
      <c r="X174" s="1">
        <v>8411.5982631299994</v>
      </c>
      <c r="Y174" s="1">
        <v>8787.8556917700007</v>
      </c>
      <c r="Z174" s="1">
        <v>9534.3948649699996</v>
      </c>
      <c r="AA174" s="1">
        <v>10230.48922747</v>
      </c>
      <c r="AB174" s="1">
        <v>10948.51</v>
      </c>
      <c r="AC174" s="1">
        <v>11410.76</v>
      </c>
      <c r="AD174" s="1">
        <v>12548.92</v>
      </c>
    </row>
    <row r="175" spans="1:30">
      <c r="A175" s="1" t="s">
        <v>86</v>
      </c>
      <c r="B175" s="1" t="s">
        <v>56</v>
      </c>
      <c r="C175" s="1" t="s">
        <v>41</v>
      </c>
      <c r="D175" s="1" t="s">
        <v>41</v>
      </c>
      <c r="E175" s="1">
        <v>18948.826549711201</v>
      </c>
      <c r="F175" s="1">
        <v>21860.4938098971</v>
      </c>
      <c r="G175" s="1">
        <v>23792.5396760187</v>
      </c>
      <c r="H175" s="1">
        <v>29253.6542241114</v>
      </c>
      <c r="I175" s="1">
        <v>33524.309172599496</v>
      </c>
      <c r="J175" s="1">
        <v>39802.3843212707</v>
      </c>
      <c r="K175" s="1">
        <v>46113.310172822203</v>
      </c>
      <c r="L175" s="1">
        <v>50970.267300359999</v>
      </c>
      <c r="M175" s="1">
        <v>57809.600380180498</v>
      </c>
      <c r="N175" s="1">
        <v>61626.844406423697</v>
      </c>
      <c r="O175" s="1">
        <v>70540.953800000003</v>
      </c>
      <c r="P175" s="1">
        <v>79947.917239999995</v>
      </c>
      <c r="Q175" s="1">
        <v>86171.929699999993</v>
      </c>
      <c r="R175" s="1">
        <v>93241.472510000007</v>
      </c>
      <c r="S175" s="1">
        <v>104239.00380000001</v>
      </c>
      <c r="T175" s="1">
        <v>115720.0241</v>
      </c>
      <c r="U175" s="1">
        <v>125513.7509</v>
      </c>
      <c r="V175" s="1">
        <v>138815.92689999999</v>
      </c>
      <c r="W175" s="1">
        <v>148430.3125</v>
      </c>
      <c r="X175" s="1">
        <v>152246.63260000001</v>
      </c>
      <c r="Y175" s="1">
        <v>156503.60949999999</v>
      </c>
      <c r="Z175" s="1">
        <v>167949.40530000001</v>
      </c>
      <c r="AA175" s="1">
        <v>182735.65660007001</v>
      </c>
      <c r="AB175" s="1">
        <v>195213.07</v>
      </c>
      <c r="AC175" s="1">
        <v>210618.68</v>
      </c>
      <c r="AD175" s="1">
        <v>227374.41</v>
      </c>
    </row>
    <row r="176" spans="1:30">
      <c r="A176" s="1" t="s">
        <v>86</v>
      </c>
      <c r="B176" s="1" t="s">
        <v>14</v>
      </c>
      <c r="C176" s="1" t="s">
        <v>14</v>
      </c>
      <c r="D176" s="1" t="s">
        <v>14</v>
      </c>
      <c r="E176" s="1">
        <v>3123.4783833557599</v>
      </c>
      <c r="F176" s="1">
        <v>3260.5766783764202</v>
      </c>
      <c r="G176" s="1">
        <v>1497.8407023172499</v>
      </c>
      <c r="H176" s="1">
        <v>1585.77336328308</v>
      </c>
      <c r="I176" s="1">
        <v>1636.73963836344</v>
      </c>
      <c r="J176" s="1">
        <v>1696.2790307084899</v>
      </c>
      <c r="K176" s="1">
        <v>1812.99038027903</v>
      </c>
      <c r="L176" s="1">
        <v>1790.34270601708</v>
      </c>
      <c r="M176" s="1">
        <v>1822.74576133295</v>
      </c>
      <c r="N176" s="1">
        <v>1936.0495633153801</v>
      </c>
      <c r="O176" s="1">
        <v>2097.50331357</v>
      </c>
      <c r="P176" s="1">
        <v>2209.17852584</v>
      </c>
      <c r="Q176" s="1">
        <v>2251.7076714999998</v>
      </c>
      <c r="R176" s="1">
        <v>2299.6706778900002</v>
      </c>
      <c r="S176" s="1">
        <v>2500.12512474</v>
      </c>
      <c r="T176" s="1">
        <v>2594.3189383399999</v>
      </c>
      <c r="U176" s="1">
        <v>2710.2880231700001</v>
      </c>
      <c r="V176" s="1">
        <v>2885.4101587800001</v>
      </c>
      <c r="W176" s="1">
        <v>3048.3716489799999</v>
      </c>
      <c r="X176" s="1">
        <v>3010.4075852599999</v>
      </c>
      <c r="Y176" s="1">
        <v>2859.43404289</v>
      </c>
      <c r="Z176" s="1">
        <v>2853.4994622600002</v>
      </c>
      <c r="AA176" s="1">
        <v>2855.8199567299998</v>
      </c>
      <c r="AB176" s="1">
        <v>1417.99</v>
      </c>
      <c r="AC176" s="1">
        <v>1492.63</v>
      </c>
      <c r="AD176" s="1">
        <v>1547.72</v>
      </c>
    </row>
    <row r="177" spans="1:30">
      <c r="A177" s="1" t="s">
        <v>86</v>
      </c>
      <c r="B177" s="1" t="s">
        <v>81</v>
      </c>
      <c r="C177" s="1" t="s">
        <v>94</v>
      </c>
      <c r="D177" s="1" t="s">
        <v>14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>
        <v>111.03</v>
      </c>
      <c r="AB177" s="1">
        <v>113.59</v>
      </c>
      <c r="AC177" s="1">
        <v>117.59</v>
      </c>
      <c r="AD177" s="1">
        <v>122.03</v>
      </c>
    </row>
    <row r="178" spans="1:30">
      <c r="A178" s="1" t="s">
        <v>86</v>
      </c>
      <c r="B178" s="1" t="s">
        <v>4</v>
      </c>
      <c r="C178" s="1" t="s">
        <v>4</v>
      </c>
      <c r="D178" s="1" t="s">
        <v>4</v>
      </c>
      <c r="E178" s="1">
        <v>173462.36312641099</v>
      </c>
      <c r="F178" s="1">
        <v>185044.19612470601</v>
      </c>
      <c r="G178" s="1">
        <v>196015.49489294199</v>
      </c>
      <c r="H178" s="1">
        <v>58055.552078185399</v>
      </c>
      <c r="I178" s="1">
        <v>63590.147835400901</v>
      </c>
      <c r="J178" s="1">
        <v>67151.052155808298</v>
      </c>
      <c r="K178" s="1">
        <v>71701.782669979293</v>
      </c>
      <c r="L178" s="1">
        <v>77889.377431424306</v>
      </c>
      <c r="M178" s="1">
        <v>83480.679773139593</v>
      </c>
      <c r="N178" s="1">
        <v>87669.310037271905</v>
      </c>
      <c r="O178" s="1">
        <v>93533.890236199994</v>
      </c>
      <c r="P178" s="1">
        <v>101453.20739347</v>
      </c>
      <c r="Q178" s="1">
        <v>108380.60238521</v>
      </c>
      <c r="R178" s="1">
        <v>115915.83835652001</v>
      </c>
      <c r="S178" s="1">
        <v>122442.81446089</v>
      </c>
      <c r="T178" s="1">
        <v>126882.60844118</v>
      </c>
      <c r="U178" s="1">
        <v>132525.10230607999</v>
      </c>
      <c r="V178" s="1">
        <v>139717.11193541001</v>
      </c>
      <c r="W178" s="1">
        <v>144727.80574700999</v>
      </c>
      <c r="X178" s="1">
        <v>153155.80669279001</v>
      </c>
      <c r="Y178" s="1">
        <v>156073.85200153</v>
      </c>
      <c r="Z178" s="1">
        <v>162436.92228547999</v>
      </c>
      <c r="AA178" s="1">
        <v>170116.90227863999</v>
      </c>
      <c r="AB178" s="1">
        <v>176290.05</v>
      </c>
      <c r="AC178" s="1">
        <v>182856.23</v>
      </c>
      <c r="AD178" s="1">
        <v>194543.85</v>
      </c>
    </row>
    <row r="179" spans="1:30">
      <c r="A179" s="1" t="s">
        <v>86</v>
      </c>
      <c r="B179" s="1" t="s">
        <v>60</v>
      </c>
      <c r="C179" s="1" t="s">
        <v>29</v>
      </c>
      <c r="D179" s="1" t="s">
        <v>29</v>
      </c>
      <c r="E179" s="1"/>
      <c r="F179" s="1"/>
      <c r="G179" s="1"/>
      <c r="H179" s="1">
        <v>28106.499560561399</v>
      </c>
      <c r="I179" s="1">
        <v>30313.858181380499</v>
      </c>
      <c r="J179" s="1">
        <v>32576.915617985698</v>
      </c>
      <c r="K179" s="1">
        <v>34800.725195281499</v>
      </c>
      <c r="L179" s="1">
        <v>36832.713224774998</v>
      </c>
      <c r="M179" s="1">
        <v>38499.924293399701</v>
      </c>
      <c r="N179" s="1">
        <v>39423.081364561898</v>
      </c>
      <c r="O179" s="1">
        <v>42191.387317230001</v>
      </c>
      <c r="P179" s="1">
        <v>45483.541954660002</v>
      </c>
      <c r="Q179" s="1">
        <v>49155.550975389997</v>
      </c>
      <c r="R179" s="1">
        <v>53173.702645309997</v>
      </c>
      <c r="S179" s="1">
        <v>56338.040857940003</v>
      </c>
      <c r="T179" s="1">
        <v>59498.187444410003</v>
      </c>
      <c r="U179" s="1">
        <v>61497.861059989998</v>
      </c>
      <c r="V179" s="1">
        <v>62436.275204279998</v>
      </c>
      <c r="W179" s="1">
        <v>65018.044519290001</v>
      </c>
      <c r="X179" s="1">
        <v>69079.808124110001</v>
      </c>
      <c r="Y179" s="1">
        <v>71325.791901570003</v>
      </c>
      <c r="Z179" s="1">
        <v>75925.345988989997</v>
      </c>
      <c r="AA179" s="1">
        <v>79348.156215609997</v>
      </c>
      <c r="AB179" s="1">
        <v>81302.960000000006</v>
      </c>
      <c r="AC179" s="1">
        <v>87616.7</v>
      </c>
      <c r="AD179" s="1">
        <v>94202.86</v>
      </c>
    </row>
    <row r="180" spans="1:30">
      <c r="A180" s="1" t="s">
        <v>86</v>
      </c>
      <c r="B180" s="1" t="s">
        <v>74</v>
      </c>
      <c r="C180" s="1" t="s">
        <v>37</v>
      </c>
      <c r="D180" s="1" t="s">
        <v>37</v>
      </c>
      <c r="E180" s="1">
        <v>1840.2495763025199</v>
      </c>
      <c r="F180" s="1">
        <v>1779.9525570230401</v>
      </c>
      <c r="G180" s="1">
        <v>1711.63727637735</v>
      </c>
      <c r="H180" s="1">
        <v>1741.83453456136</v>
      </c>
      <c r="I180" s="1">
        <v>1771.20865900594</v>
      </c>
      <c r="J180" s="1">
        <v>1825.2998547186</v>
      </c>
      <c r="K180" s="1">
        <v>2383.6342108015801</v>
      </c>
      <c r="L180" s="1">
        <v>2631.9486163083602</v>
      </c>
      <c r="M180" s="1">
        <v>2794.4739002920301</v>
      </c>
      <c r="N180" s="1">
        <v>2717.46046178193</v>
      </c>
      <c r="O180" s="1">
        <v>3227.7641293800002</v>
      </c>
      <c r="P180" s="1">
        <v>3522.8299097399999</v>
      </c>
      <c r="Q180" s="1">
        <v>3669.8568203999998</v>
      </c>
      <c r="R180" s="1">
        <v>3824.6769064999999</v>
      </c>
      <c r="S180" s="1">
        <v>4120.6530420600002</v>
      </c>
      <c r="T180" s="1">
        <v>4439.2238408200001</v>
      </c>
      <c r="U180" s="1">
        <v>4834.30370451</v>
      </c>
      <c r="V180" s="1">
        <v>5142.9396842300002</v>
      </c>
      <c r="W180" s="1">
        <v>5493.3899146499998</v>
      </c>
      <c r="X180" s="1">
        <v>6088.1729735700001</v>
      </c>
      <c r="Y180" s="1">
        <v>6708.6961887799998</v>
      </c>
      <c r="Z180" s="1">
        <v>7137.1287214000004</v>
      </c>
      <c r="AA180" s="1">
        <v>8336.6720074799996</v>
      </c>
      <c r="AB180" s="1">
        <v>9404.49</v>
      </c>
      <c r="AC180" s="1">
        <v>10625.13</v>
      </c>
      <c r="AD180" s="1">
        <v>12209.6</v>
      </c>
    </row>
    <row r="181" spans="1:30">
      <c r="A181" s="1" t="s">
        <v>86</v>
      </c>
      <c r="B181" s="1" t="s">
        <v>68</v>
      </c>
      <c r="C181" s="1" t="s">
        <v>25</v>
      </c>
      <c r="D181" s="1" t="s">
        <v>25</v>
      </c>
      <c r="E181" s="1">
        <v>10692.101256117599</v>
      </c>
      <c r="F181" s="1">
        <v>10652.3609704019</v>
      </c>
      <c r="G181" s="1">
        <v>10561.7354400312</v>
      </c>
      <c r="H181" s="1">
        <v>10734.655371132299</v>
      </c>
      <c r="I181" s="1">
        <v>10883.6011869289</v>
      </c>
      <c r="J181" s="1">
        <v>10668.1449753992</v>
      </c>
      <c r="K181" s="1">
        <v>10486.592492138599</v>
      </c>
      <c r="L181" s="1">
        <v>10795.175111389201</v>
      </c>
      <c r="M181" s="1">
        <v>11097.367648891701</v>
      </c>
      <c r="N181" s="1">
        <v>11375.738028968901</v>
      </c>
      <c r="O181" s="1">
        <v>11702.276257269999</v>
      </c>
      <c r="P181" s="1">
        <v>12030.393052400001</v>
      </c>
      <c r="Q181" s="1">
        <v>12641.814586160001</v>
      </c>
      <c r="R181" s="1">
        <v>13106.24116259</v>
      </c>
      <c r="S181" s="1">
        <v>13573.444965029999</v>
      </c>
      <c r="T181" s="1">
        <v>14162.833700859999</v>
      </c>
      <c r="U181" s="1">
        <v>15078.39298778</v>
      </c>
      <c r="V181" s="1">
        <v>15936.38710996</v>
      </c>
      <c r="W181" s="1">
        <v>16627.550284199999</v>
      </c>
      <c r="X181" s="1">
        <v>16913.527172509999</v>
      </c>
      <c r="Y181" s="1">
        <v>16298.90865755</v>
      </c>
      <c r="Z181" s="1">
        <v>17277.91762335</v>
      </c>
      <c r="AA181" s="1">
        <v>17855.33695402</v>
      </c>
      <c r="AB181" s="1">
        <v>18395.03</v>
      </c>
      <c r="AC181" s="1">
        <v>19284.689999999999</v>
      </c>
      <c r="AD181" s="1">
        <v>20705.64</v>
      </c>
    </row>
    <row r="182" spans="1:30">
      <c r="A182" s="1" t="s">
        <v>86</v>
      </c>
      <c r="B182" s="1" t="s">
        <v>79</v>
      </c>
      <c r="C182" s="1" t="s">
        <v>92</v>
      </c>
      <c r="D182" s="1" t="s">
        <v>14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1108.03</v>
      </c>
      <c r="AB182" s="1">
        <v>1116.6500000000001</v>
      </c>
      <c r="AC182" s="1">
        <v>1156.99</v>
      </c>
      <c r="AD182" s="1">
        <v>1192.33</v>
      </c>
    </row>
    <row r="183" spans="1:30">
      <c r="A183" s="1" t="s">
        <v>86</v>
      </c>
      <c r="B183" s="1" t="s">
        <v>73</v>
      </c>
      <c r="C183" s="1" t="s">
        <v>35</v>
      </c>
      <c r="D183" s="1" t="s">
        <v>35</v>
      </c>
      <c r="E183" s="1">
        <v>13712.9990041123</v>
      </c>
      <c r="F183" s="1">
        <v>14498.661283920101</v>
      </c>
      <c r="G183" s="1">
        <v>14930.592428404399</v>
      </c>
      <c r="H183" s="1">
        <v>16110.507214765899</v>
      </c>
      <c r="I183" s="1">
        <v>17114.109001992001</v>
      </c>
      <c r="J183" s="1">
        <v>17567.126815689498</v>
      </c>
      <c r="K183" s="1">
        <v>18835.3428154018</v>
      </c>
      <c r="L183" s="1">
        <v>19728.321386994299</v>
      </c>
      <c r="M183" s="1">
        <v>21446.579326300402</v>
      </c>
      <c r="N183" s="1">
        <v>22227.767221379901</v>
      </c>
      <c r="O183" s="1">
        <v>23604.458293849999</v>
      </c>
      <c r="P183" s="1">
        <v>25736.566418660001</v>
      </c>
      <c r="Q183" s="1">
        <v>27966.145826200001</v>
      </c>
      <c r="R183" s="1">
        <v>30545.257414430002</v>
      </c>
      <c r="S183" s="1">
        <v>33293.323393209997</v>
      </c>
      <c r="T183" s="1">
        <v>35547.210567319999</v>
      </c>
      <c r="U183" s="1">
        <v>38473.771086319997</v>
      </c>
      <c r="V183" s="1">
        <v>40407.185252750001</v>
      </c>
      <c r="W183" s="1">
        <v>40786.592438469997</v>
      </c>
      <c r="X183" s="1">
        <v>44830.630631740001</v>
      </c>
      <c r="Y183" s="1">
        <v>42781.919828519996</v>
      </c>
      <c r="Z183" s="1">
        <v>44075.317266149999</v>
      </c>
      <c r="AA183" s="1">
        <v>48363.155643290003</v>
      </c>
      <c r="AB183" s="1">
        <v>50444.82</v>
      </c>
      <c r="AC183" s="1">
        <v>52887.14</v>
      </c>
      <c r="AD183" s="1">
        <v>55550.61</v>
      </c>
    </row>
    <row r="184" spans="1:30">
      <c r="A184" s="1" t="s">
        <v>86</v>
      </c>
      <c r="B184" s="1" t="s">
        <v>58</v>
      </c>
      <c r="C184" s="1" t="s">
        <v>40</v>
      </c>
      <c r="D184" s="1" t="s">
        <v>40</v>
      </c>
      <c r="E184" s="1">
        <v>24373.4342746734</v>
      </c>
      <c r="F184" s="1">
        <v>24794.191063731199</v>
      </c>
      <c r="G184" s="1">
        <v>25681.804286541101</v>
      </c>
      <c r="H184" s="1">
        <v>26849.128263090901</v>
      </c>
      <c r="I184" s="1">
        <v>28424.722327835902</v>
      </c>
      <c r="J184" s="1">
        <v>29773.8952108136</v>
      </c>
      <c r="K184" s="1">
        <v>31350.692780406702</v>
      </c>
      <c r="L184" s="1">
        <v>33136.291679889298</v>
      </c>
      <c r="M184" s="1">
        <v>34268.664658621703</v>
      </c>
      <c r="N184" s="1">
        <v>35000.659295556397</v>
      </c>
      <c r="O184" s="1">
        <v>36600.124000000003</v>
      </c>
      <c r="P184" s="1">
        <v>38750.665999999997</v>
      </c>
      <c r="Q184" s="1">
        <v>41022.295469620003</v>
      </c>
      <c r="R184" s="1">
        <v>42703.113648710001</v>
      </c>
      <c r="S184" s="1">
        <v>44653.618986369998</v>
      </c>
      <c r="T184" s="1">
        <v>47066.752443680001</v>
      </c>
      <c r="U184" s="1">
        <v>49998.12509044</v>
      </c>
      <c r="V184" s="1">
        <v>53270.826334370002</v>
      </c>
      <c r="W184" s="1">
        <v>56146.099992039999</v>
      </c>
      <c r="X184" s="1">
        <v>58852.893279789998</v>
      </c>
      <c r="Y184" s="1">
        <v>59276.640841139997</v>
      </c>
      <c r="Z184" s="1">
        <v>60571.418031050001</v>
      </c>
      <c r="AA184" s="1">
        <v>63307.614761099998</v>
      </c>
      <c r="AB184" s="1">
        <v>65761.47</v>
      </c>
      <c r="AC184" s="1">
        <v>68741.77</v>
      </c>
      <c r="AD184" s="1">
        <v>71873.3</v>
      </c>
    </row>
    <row r="185" spans="1:30">
      <c r="A185" s="1" t="s">
        <v>86</v>
      </c>
      <c r="B185" s="1" t="s">
        <v>78</v>
      </c>
      <c r="C185" s="1" t="s">
        <v>91</v>
      </c>
      <c r="D185" s="1" t="s">
        <v>33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>
        <v>4946.49</v>
      </c>
      <c r="AC185" s="1">
        <v>5175.59</v>
      </c>
      <c r="AD185" s="1">
        <v>5368.6</v>
      </c>
    </row>
    <row r="186" spans="1:30">
      <c r="A186" s="1" t="s">
        <v>86</v>
      </c>
      <c r="B186" s="1" t="s">
        <v>61</v>
      </c>
      <c r="C186" s="1" t="s">
        <v>21</v>
      </c>
      <c r="D186" s="1" t="s">
        <v>21</v>
      </c>
      <c r="E186" s="1">
        <v>237955.22897238599</v>
      </c>
      <c r="F186" s="1">
        <v>254813.607259671</v>
      </c>
      <c r="G186" s="1">
        <v>268972.794323968</v>
      </c>
      <c r="H186" s="1">
        <v>279589.51774184802</v>
      </c>
      <c r="I186" s="1">
        <v>288637.28968257399</v>
      </c>
      <c r="J186" s="1">
        <v>313506.19527157699</v>
      </c>
      <c r="K186" s="1">
        <v>340190.490370863</v>
      </c>
      <c r="L186" s="1">
        <v>365200.49906864797</v>
      </c>
      <c r="M186" s="1">
        <v>398100.225801553</v>
      </c>
      <c r="N186" s="1">
        <v>391184.21181378601</v>
      </c>
      <c r="O186" s="1">
        <v>403571.24662291998</v>
      </c>
      <c r="P186" s="1">
        <v>426184.94750983</v>
      </c>
      <c r="Q186" s="1">
        <v>445675.27656167001</v>
      </c>
      <c r="R186" s="1">
        <v>477714.07227782998</v>
      </c>
      <c r="S186" s="1">
        <v>502433.62307273003</v>
      </c>
      <c r="T186" s="1">
        <v>524466.67704234004</v>
      </c>
      <c r="U186" s="1">
        <v>549471.38377583004</v>
      </c>
      <c r="V186" s="1">
        <v>578703.23692416004</v>
      </c>
      <c r="W186" s="1">
        <v>616427.06999025005</v>
      </c>
      <c r="X186" s="1">
        <v>640760.95762442995</v>
      </c>
      <c r="Y186" s="1">
        <v>612799.43347758998</v>
      </c>
      <c r="Z186" s="1">
        <v>638689.31513434998</v>
      </c>
      <c r="AA186" s="1">
        <v>683420.24742014997</v>
      </c>
      <c r="AB186" s="1">
        <v>715811.27</v>
      </c>
      <c r="AC186" s="1">
        <v>741041.46</v>
      </c>
      <c r="AD186" s="1">
        <v>762103.15</v>
      </c>
    </row>
    <row r="187" spans="1:30">
      <c r="A187" s="1" t="s">
        <v>86</v>
      </c>
      <c r="B187" s="1" t="s">
        <v>64</v>
      </c>
      <c r="C187" s="1" t="s">
        <v>24</v>
      </c>
      <c r="D187" s="1" t="s">
        <v>24</v>
      </c>
      <c r="E187" s="1">
        <v>13494.2584443047</v>
      </c>
      <c r="F187" s="1">
        <v>13080.236429197101</v>
      </c>
      <c r="G187" s="1">
        <v>13065.658651433399</v>
      </c>
      <c r="H187" s="1">
        <v>12814.6567679581</v>
      </c>
      <c r="I187" s="1">
        <v>13076.4448960523</v>
      </c>
      <c r="J187" s="1">
        <v>13231.5012663247</v>
      </c>
      <c r="K187" s="1">
        <v>13618.360235480301</v>
      </c>
      <c r="L187" s="1">
        <v>14014.481682597399</v>
      </c>
      <c r="M187" s="1">
        <v>14309.9147969368</v>
      </c>
      <c r="N187" s="1">
        <v>14424.4048721045</v>
      </c>
      <c r="O187" s="1">
        <v>14746.48912321</v>
      </c>
      <c r="P187" s="1">
        <v>15577.6502251</v>
      </c>
      <c r="Q187" s="1">
        <v>16265.913756510001</v>
      </c>
      <c r="R187" s="1">
        <v>17311.109256380001</v>
      </c>
      <c r="S187" s="1">
        <v>18045.671812119999</v>
      </c>
      <c r="T187" s="1">
        <v>18677.20359411</v>
      </c>
      <c r="U187" s="1">
        <v>19486.886376279999</v>
      </c>
      <c r="V187" s="1">
        <v>20025.23931375</v>
      </c>
      <c r="W187" s="1">
        <v>20585.746344250001</v>
      </c>
      <c r="X187" s="1">
        <v>22156.886623599999</v>
      </c>
      <c r="Y187" s="1">
        <v>21677.5042431</v>
      </c>
      <c r="Z187" s="1">
        <v>22727.905652670001</v>
      </c>
      <c r="AA187" s="1">
        <v>23649.170487579999</v>
      </c>
      <c r="AB187" s="1">
        <v>24255.61</v>
      </c>
      <c r="AC187" s="1">
        <v>25034.6</v>
      </c>
      <c r="AD187" s="1">
        <v>25879.119999999999</v>
      </c>
    </row>
    <row r="188" spans="1:30">
      <c r="A188" s="1" t="s">
        <v>86</v>
      </c>
      <c r="B188" s="1" t="s">
        <v>65</v>
      </c>
      <c r="C188" s="1" t="s">
        <v>31</v>
      </c>
      <c r="D188" s="1" t="s">
        <v>31</v>
      </c>
      <c r="E188" s="1">
        <v>1702.87181392913</v>
      </c>
      <c r="F188" s="1">
        <v>1799.4246405931499</v>
      </c>
      <c r="G188" s="1">
        <v>1905.2308106162</v>
      </c>
      <c r="H188" s="1">
        <v>2028.8802974750599</v>
      </c>
      <c r="I188" s="1">
        <v>2157.7203782218799</v>
      </c>
      <c r="J188" s="1">
        <v>2315.0955994156898</v>
      </c>
      <c r="K188" s="1">
        <v>2380.45324313533</v>
      </c>
      <c r="L188" s="1">
        <v>2617.48407127686</v>
      </c>
      <c r="M188" s="1">
        <v>2845.9829439423402</v>
      </c>
      <c r="N188" s="1">
        <v>3094.2733198004698</v>
      </c>
      <c r="O188" s="1">
        <v>3210.9340162899998</v>
      </c>
      <c r="P188" s="1">
        <v>3277.0412028300002</v>
      </c>
      <c r="Q188" s="1">
        <v>3414.8734751799998</v>
      </c>
      <c r="R188" s="1">
        <v>3539.5368297499999</v>
      </c>
      <c r="S188" s="1">
        <v>3658.6620590100001</v>
      </c>
      <c r="T188" s="1">
        <v>3772.63161709</v>
      </c>
      <c r="U188" s="1">
        <v>3976.9736462999999</v>
      </c>
      <c r="V188" s="1">
        <v>4213.7494022800001</v>
      </c>
      <c r="W188" s="1">
        <v>4284.3403431200004</v>
      </c>
      <c r="X188" s="1">
        <v>4458.90765147</v>
      </c>
      <c r="Y188" s="1">
        <v>4351.5616378699997</v>
      </c>
      <c r="Z188" s="1">
        <v>4442.8586251300003</v>
      </c>
      <c r="AA188" s="1">
        <v>4530.8390011499996</v>
      </c>
      <c r="AB188" s="1">
        <v>4644.5200000000004</v>
      </c>
      <c r="AC188" s="1">
        <v>4839.22</v>
      </c>
      <c r="AD188" s="1">
        <v>8534.85</v>
      </c>
    </row>
    <row r="189" spans="1:30">
      <c r="A189" s="1" t="s">
        <v>86</v>
      </c>
      <c r="B189" s="1" t="s">
        <v>77</v>
      </c>
      <c r="C189" s="1" t="s">
        <v>33</v>
      </c>
      <c r="D189" s="1" t="s">
        <v>33</v>
      </c>
      <c r="E189" s="1"/>
      <c r="F189" s="1"/>
      <c r="G189" s="1">
        <v>2174.30039479581</v>
      </c>
      <c r="H189" s="1">
        <v>2546.13459397313</v>
      </c>
      <c r="I189" s="1">
        <v>3100.4584366867698</v>
      </c>
      <c r="J189" s="1">
        <v>3359.6309974563701</v>
      </c>
      <c r="K189" s="1">
        <v>3377.2385613769402</v>
      </c>
      <c r="L189" s="1">
        <v>3654.7388942730699</v>
      </c>
      <c r="M189" s="1">
        <v>3932.7900241090601</v>
      </c>
      <c r="N189" s="1">
        <v>6146.7465897166303</v>
      </c>
      <c r="O189" s="1">
        <v>13524.271158879999</v>
      </c>
      <c r="P189" s="1">
        <v>14094.13816181</v>
      </c>
      <c r="Q189" s="1">
        <v>14501.46108818</v>
      </c>
      <c r="R189" s="1">
        <v>15728.580957120001</v>
      </c>
      <c r="S189" s="1">
        <v>16348.29850624</v>
      </c>
      <c r="T189" s="1">
        <v>16695.36780258</v>
      </c>
      <c r="U189" s="1">
        <v>17241.394216559998</v>
      </c>
      <c r="V189" s="1">
        <v>17741.147583779999</v>
      </c>
      <c r="W189" s="1">
        <v>19032.383821889998</v>
      </c>
      <c r="X189" s="1">
        <v>18843.489693089999</v>
      </c>
      <c r="Y189" s="1">
        <v>19194.619884690001</v>
      </c>
      <c r="Z189" s="1">
        <v>18752.243241700002</v>
      </c>
      <c r="AA189" s="1">
        <v>19299.24833459</v>
      </c>
      <c r="AB189" s="1">
        <v>16121.08</v>
      </c>
      <c r="AC189" s="1">
        <v>21425.31</v>
      </c>
      <c r="AD189" s="1">
        <v>23362.58</v>
      </c>
    </row>
    <row r="190" spans="1:30">
      <c r="A190" s="1" t="s">
        <v>86</v>
      </c>
      <c r="B190" s="1" t="s">
        <v>75</v>
      </c>
      <c r="C190" s="1" t="s">
        <v>34</v>
      </c>
      <c r="D190" s="1" t="s">
        <v>34</v>
      </c>
      <c r="E190" s="1"/>
      <c r="F190" s="1"/>
      <c r="G190" s="1"/>
      <c r="H190" s="1"/>
      <c r="I190" s="1"/>
      <c r="J190" s="1">
        <v>872.01041531482997</v>
      </c>
      <c r="K190" s="1">
        <v>933.49441784351097</v>
      </c>
      <c r="L190" s="1">
        <v>1001.54245678926</v>
      </c>
      <c r="M190" s="1">
        <v>1193.6705550906299</v>
      </c>
      <c r="N190" s="1">
        <v>1296.5172757255</v>
      </c>
      <c r="O190" s="1">
        <v>1497.0398043099999</v>
      </c>
      <c r="P190" s="1">
        <v>1720.11355</v>
      </c>
      <c r="Q190" s="1">
        <v>1836.8695654799999</v>
      </c>
      <c r="R190" s="1">
        <v>1967.03833472</v>
      </c>
      <c r="S190" s="1">
        <v>2668.8804084899998</v>
      </c>
      <c r="T190" s="1">
        <v>2966.34592875</v>
      </c>
      <c r="U190" s="1">
        <v>2893.3123307999999</v>
      </c>
      <c r="V190" s="1">
        <v>3123.6644078999998</v>
      </c>
      <c r="W190" s="1">
        <v>3358.2753819599998</v>
      </c>
      <c r="X190" s="1">
        <v>3530.4661921100001</v>
      </c>
      <c r="Y190" s="1">
        <v>3406.4726510800001</v>
      </c>
      <c r="Z190" s="1">
        <v>3606.9876052300001</v>
      </c>
      <c r="AA190" s="1">
        <v>3580.17949864</v>
      </c>
      <c r="AB190" s="1">
        <v>4102.2700000000004</v>
      </c>
      <c r="AC190" s="1">
        <v>4033.13</v>
      </c>
      <c r="AD190" s="1">
        <v>4670.82</v>
      </c>
    </row>
    <row r="191" spans="1:30">
      <c r="A191" s="1" t="s">
        <v>86</v>
      </c>
      <c r="B191" s="1" t="s">
        <v>57</v>
      </c>
      <c r="C191" s="1" t="s">
        <v>39</v>
      </c>
      <c r="D191" s="1" t="s">
        <v>39</v>
      </c>
      <c r="E191" s="1">
        <v>8252.8201680438306</v>
      </c>
      <c r="F191" s="1">
        <v>8509.6575045949594</v>
      </c>
      <c r="G191" s="1">
        <v>8729.3517015675006</v>
      </c>
      <c r="H191" s="1">
        <v>8903.4002364370099</v>
      </c>
      <c r="I191" s="1">
        <v>9306.6721476089297</v>
      </c>
      <c r="J191" s="1">
        <v>9765.2324688982699</v>
      </c>
      <c r="K191" s="1">
        <v>10202.0553747224</v>
      </c>
      <c r="L191" s="1">
        <v>10792.921113407299</v>
      </c>
      <c r="M191" s="1">
        <v>11563.368605073099</v>
      </c>
      <c r="N191" s="1">
        <v>11976.393627686401</v>
      </c>
      <c r="O191" s="1">
        <v>12277.027907420001</v>
      </c>
      <c r="P191" s="1">
        <v>12859.17984776</v>
      </c>
      <c r="Q191" s="1">
        <v>13690.47402125</v>
      </c>
      <c r="R191" s="1">
        <v>14388.52329848</v>
      </c>
      <c r="S191" s="1">
        <v>15140.071881330001</v>
      </c>
      <c r="T191" s="1">
        <v>15418.54017359</v>
      </c>
      <c r="U191" s="1">
        <v>16174.09684738</v>
      </c>
      <c r="V191" s="1">
        <v>16540.818123780002</v>
      </c>
      <c r="W191" s="1">
        <v>16444.83999932</v>
      </c>
      <c r="X191" s="1">
        <v>16118.64565794</v>
      </c>
      <c r="Y191" s="1">
        <v>16031.823237889999</v>
      </c>
      <c r="Z191" s="1">
        <v>16628.369795719998</v>
      </c>
      <c r="AA191" s="1">
        <v>16918.566181760001</v>
      </c>
      <c r="AB191" s="1">
        <v>17440.38</v>
      </c>
      <c r="AC191" s="1">
        <v>17894.05</v>
      </c>
      <c r="AD191" s="1">
        <v>18856.05</v>
      </c>
    </row>
    <row r="192" spans="1:30">
      <c r="A192" s="1" t="s">
        <v>85</v>
      </c>
      <c r="B192" s="1" t="s">
        <v>3</v>
      </c>
      <c r="C192" s="1" t="s">
        <v>3</v>
      </c>
      <c r="D192" s="1" t="s">
        <v>3</v>
      </c>
      <c r="E192" s="1">
        <v>72928.514149748298</v>
      </c>
      <c r="F192" s="1">
        <v>52573.8684659235</v>
      </c>
      <c r="G192" s="1">
        <v>87687.132730619705</v>
      </c>
      <c r="H192" s="1">
        <v>96329.993054552193</v>
      </c>
      <c r="I192" s="1">
        <v>73157.801765226701</v>
      </c>
      <c r="J192" s="1">
        <v>56610.052309057202</v>
      </c>
      <c r="K192" s="1">
        <v>55148.443775744599</v>
      </c>
      <c r="L192" s="1">
        <v>43511.6149765132</v>
      </c>
      <c r="M192" s="1">
        <v>31661.076321726501</v>
      </c>
      <c r="N192" s="1">
        <v>16690.6751852245</v>
      </c>
      <c r="O192" s="1">
        <v>15582.03254106</v>
      </c>
      <c r="P192" s="1">
        <v>15267.408712889999</v>
      </c>
      <c r="Q192" s="1">
        <v>14889.646154010001</v>
      </c>
      <c r="R192" s="1">
        <v>14120.8605209</v>
      </c>
      <c r="S192" s="1">
        <v>12799.98089341</v>
      </c>
      <c r="T192" s="1">
        <v>9319.7148821400006</v>
      </c>
      <c r="U192" s="1">
        <v>8127.8313703800004</v>
      </c>
      <c r="V192" s="1">
        <v>8581.2965797300003</v>
      </c>
      <c r="W192" s="1">
        <v>9152.5057988400004</v>
      </c>
      <c r="X192" s="1">
        <v>9688.8370917100001</v>
      </c>
      <c r="Y192" s="1">
        <v>10485.33141685</v>
      </c>
      <c r="Z192" s="1">
        <v>10407.744114700001</v>
      </c>
      <c r="AA192" s="1">
        <v>10855.2138638</v>
      </c>
      <c r="AB192" s="1">
        <v>10330.719999999999</v>
      </c>
      <c r="AC192" s="1">
        <v>11483.25</v>
      </c>
      <c r="AD192" s="1">
        <v>11599.41</v>
      </c>
    </row>
    <row r="193" spans="1:30">
      <c r="A193" s="1" t="s">
        <v>85</v>
      </c>
      <c r="B193" s="1" t="s">
        <v>11</v>
      </c>
      <c r="C193" s="1" t="s">
        <v>11</v>
      </c>
      <c r="D193" s="1" t="s">
        <v>11</v>
      </c>
      <c r="E193" s="1">
        <v>690.52851619075295</v>
      </c>
      <c r="F193" s="1">
        <v>699.22968941649594</v>
      </c>
      <c r="G193" s="1">
        <v>713.21396466326098</v>
      </c>
      <c r="H193" s="1">
        <v>743.02651020931296</v>
      </c>
      <c r="I193" s="1">
        <v>775.57100044792605</v>
      </c>
      <c r="J193" s="1">
        <v>806.39067826134703</v>
      </c>
      <c r="K193" s="1">
        <v>826.83287288487895</v>
      </c>
      <c r="L193" s="1">
        <v>843.84582871721295</v>
      </c>
      <c r="M193" s="1">
        <v>901.92794894050201</v>
      </c>
      <c r="N193" s="1">
        <v>949.44455569582306</v>
      </c>
      <c r="O193" s="1">
        <v>1133.91500316</v>
      </c>
      <c r="P193" s="1">
        <v>1252.2430102400001</v>
      </c>
      <c r="Q193" s="1">
        <v>1444.1223357900001</v>
      </c>
      <c r="R193" s="1">
        <v>1555.3599076099999</v>
      </c>
      <c r="S193" s="1">
        <v>1546.1054110099999</v>
      </c>
      <c r="T193" s="1">
        <v>1440.5635620200001</v>
      </c>
      <c r="U193" s="1">
        <v>1502.26891916</v>
      </c>
      <c r="V193" s="1">
        <v>1480.66867748</v>
      </c>
      <c r="W193" s="1">
        <v>1441.4108897999999</v>
      </c>
      <c r="X193" s="1">
        <v>1423.7378504200001</v>
      </c>
      <c r="Y193" s="1">
        <v>1362.7710408999999</v>
      </c>
      <c r="Z193" s="1">
        <v>1363.73843448</v>
      </c>
      <c r="AA193" s="1">
        <v>1426.4118802</v>
      </c>
      <c r="AB193" s="1">
        <v>1447.48</v>
      </c>
      <c r="AC193" s="1">
        <v>1467.16</v>
      </c>
      <c r="AD193" s="1">
        <v>1477.51</v>
      </c>
    </row>
    <row r="194" spans="1:30">
      <c r="A194" s="1" t="s">
        <v>85</v>
      </c>
      <c r="B194" s="1" t="s">
        <v>59</v>
      </c>
      <c r="C194" s="1" t="s">
        <v>28</v>
      </c>
      <c r="D194" s="1" t="s">
        <v>28</v>
      </c>
      <c r="E194" s="1">
        <v>3430.0714794148898</v>
      </c>
      <c r="F194" s="1">
        <v>3550.5867376794799</v>
      </c>
      <c r="G194" s="1">
        <v>4085.4722703433199</v>
      </c>
      <c r="H194" s="1">
        <v>6460.2510156224798</v>
      </c>
      <c r="I194" s="1">
        <v>6265.4344254571597</v>
      </c>
      <c r="J194" s="1">
        <v>6017.9688468109098</v>
      </c>
      <c r="K194" s="1">
        <v>5999.6955812882798</v>
      </c>
      <c r="L194" s="1">
        <v>5990.5442221900603</v>
      </c>
      <c r="M194" s="1">
        <v>5942.2354055768901</v>
      </c>
      <c r="N194" s="1">
        <v>6028.8240367457502</v>
      </c>
      <c r="O194" s="1">
        <v>6077.43919895</v>
      </c>
      <c r="P194" s="1">
        <v>6263.5601932999998</v>
      </c>
      <c r="Q194" s="1">
        <v>6270.0791160999997</v>
      </c>
      <c r="R194" s="1">
        <v>6230.2367175500003</v>
      </c>
      <c r="S194" s="1">
        <v>6354.0520995699999</v>
      </c>
      <c r="T194" s="1">
        <v>6458.0896536600003</v>
      </c>
      <c r="U194" s="1">
        <v>6490.5629825699998</v>
      </c>
      <c r="V194" s="1">
        <v>6634.7517070000004</v>
      </c>
      <c r="W194" s="1">
        <v>6571.4734827499997</v>
      </c>
      <c r="X194" s="1">
        <v>6632.6657575600002</v>
      </c>
      <c r="Y194" s="1">
        <v>6035.9985346800004</v>
      </c>
      <c r="Z194" s="1">
        <v>6450.6770879799997</v>
      </c>
      <c r="AA194" s="1">
        <v>6483.7292287500004</v>
      </c>
      <c r="AB194" s="1">
        <v>6406.13</v>
      </c>
      <c r="AC194" s="1">
        <v>6149.52</v>
      </c>
      <c r="AD194" s="1">
        <v>6559.52</v>
      </c>
    </row>
    <row r="195" spans="1:30">
      <c r="A195" s="1" t="s">
        <v>85</v>
      </c>
      <c r="B195" s="1" t="s">
        <v>10</v>
      </c>
      <c r="C195" s="1" t="s">
        <v>10</v>
      </c>
      <c r="D195" s="1" t="s">
        <v>10</v>
      </c>
      <c r="E195" s="1">
        <v>1194.2913940373601</v>
      </c>
      <c r="F195" s="1">
        <v>1370.23165454182</v>
      </c>
      <c r="G195" s="1">
        <v>1401.6528444517</v>
      </c>
      <c r="H195" s="1">
        <v>1478.68853096981</v>
      </c>
      <c r="I195" s="1">
        <v>1548.85239829787</v>
      </c>
      <c r="J195" s="1">
        <v>1623.5715535710699</v>
      </c>
      <c r="K195" s="1">
        <v>1684.47614227024</v>
      </c>
      <c r="L195" s="1">
        <v>1897.61040360888</v>
      </c>
      <c r="M195" s="1">
        <v>2167.58530666151</v>
      </c>
      <c r="N195" s="1">
        <v>2460.6385228455501</v>
      </c>
      <c r="O195" s="1">
        <v>2614.1253684200001</v>
      </c>
      <c r="P195" s="1">
        <v>2746.9577443600001</v>
      </c>
      <c r="Q195" s="1">
        <v>2745.7363924900001</v>
      </c>
      <c r="R195" s="1">
        <v>2575.23473466</v>
      </c>
      <c r="S195" s="1">
        <v>2677.2816580899998</v>
      </c>
      <c r="T195" s="1">
        <v>2775.24877272</v>
      </c>
      <c r="U195" s="1">
        <v>2870.48428552</v>
      </c>
      <c r="V195" s="1">
        <v>2850.8455429400001</v>
      </c>
      <c r="W195" s="1">
        <v>2871.4595963000002</v>
      </c>
      <c r="X195" s="1">
        <v>2881.6609200500002</v>
      </c>
      <c r="Y195" s="1">
        <v>2640.6305754199998</v>
      </c>
      <c r="Z195" s="1">
        <v>2656.6222589700001</v>
      </c>
      <c r="AA195" s="1">
        <v>2208.4756513299999</v>
      </c>
      <c r="AB195" s="1">
        <v>1844.63</v>
      </c>
      <c r="AC195" s="1">
        <v>1713.75</v>
      </c>
      <c r="AD195" s="1">
        <v>1728.33</v>
      </c>
    </row>
    <row r="196" spans="1:30">
      <c r="A196" s="1" t="s">
        <v>85</v>
      </c>
      <c r="B196" s="1" t="s">
        <v>6</v>
      </c>
      <c r="C196" s="1" t="s">
        <v>6</v>
      </c>
      <c r="D196" s="1" t="s">
        <v>6</v>
      </c>
      <c r="E196" s="1">
        <v>607.88576017394905</v>
      </c>
      <c r="F196" s="1">
        <v>597.29714031821095</v>
      </c>
      <c r="G196" s="1">
        <v>624.28976314281795</v>
      </c>
      <c r="H196" s="1">
        <v>650.17926793706101</v>
      </c>
      <c r="I196" s="1">
        <v>694.92308600537399</v>
      </c>
      <c r="J196" s="1">
        <v>744.75055222667504</v>
      </c>
      <c r="K196" s="1">
        <v>793.62629773912795</v>
      </c>
      <c r="L196" s="1">
        <v>929.62932573190994</v>
      </c>
      <c r="M196" s="1">
        <v>971.63459138016003</v>
      </c>
      <c r="N196" s="1">
        <v>1080.1020505961901</v>
      </c>
      <c r="O196" s="1">
        <v>1202.18316987</v>
      </c>
      <c r="P196" s="1">
        <v>1245.5616402799999</v>
      </c>
      <c r="Q196" s="1">
        <v>1330.6997461399999</v>
      </c>
      <c r="R196" s="1">
        <v>1357.8995528</v>
      </c>
      <c r="S196" s="1">
        <v>1441.9677131799999</v>
      </c>
      <c r="T196" s="1">
        <v>1459.3910825200001</v>
      </c>
      <c r="U196" s="1">
        <v>1472.9327767</v>
      </c>
      <c r="V196" s="1">
        <v>1482.7687375999999</v>
      </c>
      <c r="W196" s="1">
        <v>1523.47178009</v>
      </c>
      <c r="X196" s="1">
        <v>1561.6727896</v>
      </c>
      <c r="Y196" s="1">
        <v>1535.0813082300001</v>
      </c>
      <c r="Z196" s="1">
        <v>1634.3962460600001</v>
      </c>
      <c r="AA196" s="1">
        <v>1588.3827329999999</v>
      </c>
      <c r="AB196" s="1">
        <v>1723.28</v>
      </c>
      <c r="AC196" s="1">
        <v>1761.52</v>
      </c>
      <c r="AD196" s="1">
        <v>1688.25</v>
      </c>
    </row>
    <row r="197" spans="1:30">
      <c r="A197" s="1" t="s">
        <v>85</v>
      </c>
      <c r="B197" s="1" t="s">
        <v>62</v>
      </c>
      <c r="C197" s="1" t="s">
        <v>22</v>
      </c>
      <c r="D197" s="1" t="s">
        <v>22</v>
      </c>
      <c r="E197" s="1">
        <v>7022.30500788259</v>
      </c>
      <c r="F197" s="1">
        <v>7596.9444219631796</v>
      </c>
      <c r="G197" s="1">
        <v>7834.8649094064504</v>
      </c>
      <c r="H197" s="1">
        <v>8266.9572504256594</v>
      </c>
      <c r="I197" s="1">
        <v>8492.8998835674993</v>
      </c>
      <c r="J197" s="1">
        <v>9280.8911497682293</v>
      </c>
      <c r="K197" s="1">
        <v>10710.8983294791</v>
      </c>
      <c r="L197" s="1">
        <v>11378.372190054301</v>
      </c>
      <c r="M197" s="1">
        <v>11814.2801849849</v>
      </c>
      <c r="N197" s="1">
        <v>12463.183897614999</v>
      </c>
      <c r="O197" s="1">
        <v>13346.392634170001</v>
      </c>
      <c r="P197" s="1">
        <v>13054.134233549999</v>
      </c>
      <c r="Q197" s="1">
        <v>13745.874304249999</v>
      </c>
      <c r="R197" s="1">
        <v>14594.164049999999</v>
      </c>
      <c r="S197" s="1">
        <v>15566.64884</v>
      </c>
      <c r="T197" s="1">
        <v>16278.164849999999</v>
      </c>
      <c r="U197" s="1">
        <v>19367.59722</v>
      </c>
      <c r="V197" s="1">
        <v>20356.48314</v>
      </c>
      <c r="W197" s="1">
        <v>20855.981919999998</v>
      </c>
      <c r="X197" s="1">
        <v>21557.115269999998</v>
      </c>
      <c r="Y197" s="1">
        <v>21385.267520000001</v>
      </c>
      <c r="Z197" s="1">
        <v>22326.160090000001</v>
      </c>
      <c r="AA197" s="1">
        <v>20942.664130000001</v>
      </c>
      <c r="AB197" s="1">
        <v>21232.09</v>
      </c>
      <c r="AC197" s="1">
        <v>21833.06</v>
      </c>
      <c r="AD197" s="1">
        <v>22315.22</v>
      </c>
    </row>
    <row r="198" spans="1:30">
      <c r="A198" s="1" t="s">
        <v>85</v>
      </c>
      <c r="B198" s="1" t="s">
        <v>66</v>
      </c>
      <c r="C198" s="1" t="s">
        <v>26</v>
      </c>
      <c r="D198" s="1" t="s">
        <v>26</v>
      </c>
      <c r="E198" s="1">
        <v>1638.43037251748</v>
      </c>
      <c r="F198" s="1">
        <v>1574.3713373063599</v>
      </c>
      <c r="G198" s="1">
        <v>2730.04080286918</v>
      </c>
      <c r="H198" s="1">
        <v>1855.79605253931</v>
      </c>
      <c r="I198" s="1">
        <v>2488.6484778566801</v>
      </c>
      <c r="J198" s="1">
        <v>4290.0565151934998</v>
      </c>
      <c r="K198" s="1">
        <v>5615.2129957567004</v>
      </c>
      <c r="L198" s="1">
        <v>6331.79655274997</v>
      </c>
      <c r="M198" s="1">
        <v>6755.57725700024</v>
      </c>
      <c r="N198" s="1">
        <v>7529.6338038152799</v>
      </c>
      <c r="O198" s="1">
        <v>8416.6874499999994</v>
      </c>
      <c r="P198" s="1">
        <v>9958.2314594500003</v>
      </c>
      <c r="Q198" s="1">
        <v>11060.62082853</v>
      </c>
      <c r="R198" s="1">
        <v>12819.01399818</v>
      </c>
      <c r="S198" s="1">
        <v>12421.471655400001</v>
      </c>
      <c r="T198" s="1">
        <v>12654.564527410001</v>
      </c>
      <c r="U198" s="1">
        <v>13616.28087307</v>
      </c>
      <c r="V198" s="1">
        <v>14796.619410699999</v>
      </c>
      <c r="W198" s="1">
        <v>14754.12360707</v>
      </c>
      <c r="X198" s="1">
        <v>15518.411706749999</v>
      </c>
      <c r="Y198" s="1">
        <v>14290.26323137</v>
      </c>
      <c r="Z198" s="1">
        <v>14399.223866599999</v>
      </c>
      <c r="AA198" s="1">
        <v>16652.847010400001</v>
      </c>
      <c r="AB198" s="1">
        <v>15790.76</v>
      </c>
      <c r="AC198" s="1">
        <v>17178.59</v>
      </c>
      <c r="AD198" s="1">
        <v>17541.849999999999</v>
      </c>
    </row>
    <row r="199" spans="1:30">
      <c r="A199" s="1" t="s">
        <v>85</v>
      </c>
      <c r="B199" s="1" t="s">
        <v>80</v>
      </c>
      <c r="C199" s="1" t="s">
        <v>93</v>
      </c>
      <c r="D199" s="1" t="s">
        <v>14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>
        <v>73388.899999999994</v>
      </c>
      <c r="AB199" s="1">
        <v>78346.09</v>
      </c>
      <c r="AC199" s="1">
        <v>81824.45</v>
      </c>
      <c r="AD199" s="1">
        <v>58081.11</v>
      </c>
    </row>
    <row r="200" spans="1:30">
      <c r="A200" s="1" t="s">
        <v>85</v>
      </c>
      <c r="B200" s="1" t="s">
        <v>72</v>
      </c>
      <c r="C200" s="1" t="s">
        <v>36</v>
      </c>
      <c r="D200" s="1" t="s">
        <v>36</v>
      </c>
      <c r="E200" s="1">
        <v>964.86237358096503</v>
      </c>
      <c r="F200" s="1">
        <v>987.24240975858697</v>
      </c>
      <c r="G200" s="1">
        <v>1018.68019868206</v>
      </c>
      <c r="H200" s="1">
        <v>1051.9873072492401</v>
      </c>
      <c r="I200" s="1">
        <v>1090.74165615378</v>
      </c>
      <c r="J200" s="1">
        <v>1368.1516928523899</v>
      </c>
      <c r="K200" s="1">
        <v>1838.40791417222</v>
      </c>
      <c r="L200" s="1">
        <v>2581.4374570013201</v>
      </c>
      <c r="M200" s="1">
        <v>3073.38952256536</v>
      </c>
      <c r="N200" s="1">
        <v>3339.3350178012101</v>
      </c>
      <c r="O200" s="1">
        <v>4458.5556143599997</v>
      </c>
      <c r="P200" s="1">
        <v>5905.4709763000001</v>
      </c>
      <c r="Q200" s="1">
        <v>7640.1007518699998</v>
      </c>
      <c r="R200" s="1">
        <v>9773.0665063600009</v>
      </c>
      <c r="S200" s="1">
        <v>7239.05089512</v>
      </c>
      <c r="T200" s="1">
        <v>9223.1952885299997</v>
      </c>
      <c r="U200" s="1">
        <v>12403.30334217</v>
      </c>
      <c r="V200" s="1">
        <v>14272.08183216</v>
      </c>
      <c r="W200" s="1">
        <v>17552.452880000001</v>
      </c>
      <c r="X200" s="1">
        <v>19971.592509999999</v>
      </c>
      <c r="Y200" s="1">
        <v>22040.206330000001</v>
      </c>
      <c r="Z200" s="1">
        <v>24739.3688</v>
      </c>
      <c r="AA200" s="1">
        <v>29820.42007</v>
      </c>
      <c r="AB200" s="1">
        <v>33238.019999999997</v>
      </c>
      <c r="AC200" s="1">
        <v>35296.269999999997</v>
      </c>
      <c r="AD200" s="1">
        <v>37535.040000000001</v>
      </c>
    </row>
    <row r="201" spans="1:30">
      <c r="A201" s="1" t="s">
        <v>85</v>
      </c>
      <c r="B201" s="1" t="s">
        <v>9</v>
      </c>
      <c r="C201" s="1" t="s">
        <v>9</v>
      </c>
      <c r="D201" s="1" t="s">
        <v>9</v>
      </c>
      <c r="E201" s="1">
        <v>341.102536125786</v>
      </c>
      <c r="F201" s="1">
        <v>343.254314223081</v>
      </c>
      <c r="G201" s="1">
        <v>343.80806611634699</v>
      </c>
      <c r="H201" s="1">
        <v>347.04546757955899</v>
      </c>
      <c r="I201" s="1">
        <v>349.97314340755503</v>
      </c>
      <c r="J201" s="1">
        <v>355.46774417122998</v>
      </c>
      <c r="K201" s="1">
        <v>366.52450476620999</v>
      </c>
      <c r="L201" s="1">
        <v>402.03556469970499</v>
      </c>
      <c r="M201" s="1">
        <v>401.949522052323</v>
      </c>
      <c r="N201" s="1">
        <v>403.16977596590999</v>
      </c>
      <c r="O201" s="1">
        <v>406.71100000000001</v>
      </c>
      <c r="P201" s="1">
        <v>436.32870085000002</v>
      </c>
      <c r="Q201" s="1">
        <v>443.62691601</v>
      </c>
      <c r="R201" s="1">
        <v>461.01383544999999</v>
      </c>
      <c r="S201" s="1">
        <v>470.73463634000001</v>
      </c>
      <c r="T201" s="1">
        <v>471.32324746</v>
      </c>
      <c r="U201" s="1">
        <v>473.29867445000002</v>
      </c>
      <c r="V201" s="1">
        <v>489.34923981999998</v>
      </c>
      <c r="W201" s="1">
        <v>541.18362342</v>
      </c>
      <c r="X201" s="1">
        <v>557.65348195000001</v>
      </c>
      <c r="Y201" s="1">
        <v>508.37601563999999</v>
      </c>
      <c r="Z201" s="1">
        <v>492.58323237000002</v>
      </c>
      <c r="AA201" s="1">
        <v>501.03183236000001</v>
      </c>
      <c r="AB201" s="1">
        <v>517.33000000000004</v>
      </c>
      <c r="AC201" s="1">
        <v>557.4</v>
      </c>
      <c r="AD201" s="1">
        <v>591.98</v>
      </c>
    </row>
    <row r="202" spans="1:30">
      <c r="A202" s="1" t="s">
        <v>85</v>
      </c>
      <c r="B202" s="1" t="s">
        <v>8</v>
      </c>
      <c r="C202" s="1" t="s">
        <v>8</v>
      </c>
      <c r="D202" s="1" t="s">
        <v>8</v>
      </c>
      <c r="E202" s="1">
        <v>3937.5240214451101</v>
      </c>
      <c r="F202" s="1">
        <v>3897.6135517294301</v>
      </c>
      <c r="G202" s="1">
        <v>3770.7862562700102</v>
      </c>
      <c r="H202" s="1">
        <v>3239.8472049106999</v>
      </c>
      <c r="I202" s="1">
        <v>3019.3510852643599</v>
      </c>
      <c r="J202" s="1">
        <v>2800.6880252469</v>
      </c>
      <c r="K202" s="1">
        <v>2852.9209142889599</v>
      </c>
      <c r="L202" s="1">
        <v>2866.0151648196002</v>
      </c>
      <c r="M202" s="1">
        <v>2868.0213755221398</v>
      </c>
      <c r="N202" s="1">
        <v>2861.9985305970099</v>
      </c>
      <c r="O202" s="1">
        <v>2903.9279302800001</v>
      </c>
      <c r="P202" s="1">
        <v>3029.3310478899998</v>
      </c>
      <c r="Q202" s="1">
        <v>3009.2600788499999</v>
      </c>
      <c r="R202" s="1">
        <v>3002.7868204500001</v>
      </c>
      <c r="S202" s="1">
        <v>2976.9693369199999</v>
      </c>
      <c r="T202" s="1">
        <v>2956.1581873800001</v>
      </c>
      <c r="U202" s="1">
        <v>2911.7868916900002</v>
      </c>
      <c r="V202" s="1">
        <v>2916.30564964</v>
      </c>
      <c r="W202" s="1">
        <v>2945.33068043</v>
      </c>
      <c r="X202" s="1">
        <v>2827.31954524</v>
      </c>
      <c r="Y202" s="1">
        <v>2645.4009210099998</v>
      </c>
      <c r="Z202" s="1">
        <v>2538.0277161700001</v>
      </c>
      <c r="AA202" s="1">
        <v>2400.3078224800001</v>
      </c>
      <c r="AB202" s="1">
        <v>2094.15</v>
      </c>
      <c r="AC202" s="1">
        <v>1984.75</v>
      </c>
      <c r="AD202" s="1">
        <v>1830.18</v>
      </c>
    </row>
    <row r="203" spans="1:30">
      <c r="A203" s="1" t="s">
        <v>85</v>
      </c>
      <c r="B203" s="1" t="s">
        <v>63</v>
      </c>
      <c r="C203" s="1" t="s">
        <v>23</v>
      </c>
      <c r="D203" s="1" t="s">
        <v>23</v>
      </c>
      <c r="E203" s="1">
        <v>29138.089289169398</v>
      </c>
      <c r="F203" s="1">
        <v>29918.808558312401</v>
      </c>
      <c r="G203" s="1">
        <v>30745.7479117039</v>
      </c>
      <c r="H203" s="1">
        <v>31425.6168843218</v>
      </c>
      <c r="I203" s="1">
        <v>32005.143152786801</v>
      </c>
      <c r="J203" s="1">
        <v>34987.884623067497</v>
      </c>
      <c r="K203" s="1">
        <v>38363.649038425101</v>
      </c>
      <c r="L203" s="1">
        <v>42333.145971598802</v>
      </c>
      <c r="M203" s="1">
        <v>46275.1660013894</v>
      </c>
      <c r="N203" s="1">
        <v>49476.619846541602</v>
      </c>
      <c r="O203" s="1">
        <v>54020.529109000003</v>
      </c>
      <c r="P203" s="1">
        <v>58140.328918719999</v>
      </c>
      <c r="Q203" s="1">
        <v>58287.946866259997</v>
      </c>
      <c r="R203" s="1">
        <v>59049.990546000001</v>
      </c>
      <c r="S203" s="1">
        <v>60862.347294469997</v>
      </c>
      <c r="T203" s="1">
        <v>65707.007299999997</v>
      </c>
      <c r="U203" s="1">
        <v>75024.885200000004</v>
      </c>
      <c r="V203" s="1">
        <v>80636.383799999996</v>
      </c>
      <c r="W203" s="1">
        <v>82573.559416649994</v>
      </c>
      <c r="X203" s="1">
        <v>83847.017970800007</v>
      </c>
      <c r="Y203" s="1">
        <v>80897.967955579996</v>
      </c>
      <c r="Z203" s="1">
        <v>77270.042435230003</v>
      </c>
      <c r="AA203" s="1">
        <v>71865.196690979996</v>
      </c>
      <c r="AB203" s="1">
        <v>73057.78</v>
      </c>
      <c r="AC203" s="1">
        <v>72582.559999999998</v>
      </c>
      <c r="AD203" s="1">
        <v>73673.06</v>
      </c>
    </row>
    <row r="204" spans="1:30">
      <c r="A204" s="1" t="s">
        <v>85</v>
      </c>
      <c r="B204" s="1" t="s">
        <v>69</v>
      </c>
      <c r="C204" s="1" t="s">
        <v>27</v>
      </c>
      <c r="D204" s="1" t="s">
        <v>27</v>
      </c>
      <c r="E204" s="1">
        <v>119249.828085784</v>
      </c>
      <c r="F204" s="1">
        <v>126746.286608029</v>
      </c>
      <c r="G204" s="1">
        <v>136412.19650841699</v>
      </c>
      <c r="H204" s="1">
        <v>140599.91412815699</v>
      </c>
      <c r="I204" s="1">
        <v>142408.16452973499</v>
      </c>
      <c r="J204" s="1">
        <v>148963.738220214</v>
      </c>
      <c r="K204" s="1">
        <v>155063.918612029</v>
      </c>
      <c r="L204" s="1">
        <v>159350.40121711401</v>
      </c>
      <c r="M204" s="1">
        <v>168520.560397108</v>
      </c>
      <c r="N204" s="1">
        <v>176502.91034790201</v>
      </c>
      <c r="O204" s="1">
        <v>191160.89300613001</v>
      </c>
      <c r="P204" s="1">
        <v>211507.27417515</v>
      </c>
      <c r="Q204" s="1">
        <v>228444.29829087999</v>
      </c>
      <c r="R204" s="1">
        <v>232661.00721881</v>
      </c>
      <c r="S204" s="1">
        <v>231725.33119922</v>
      </c>
      <c r="T204" s="1">
        <v>220405.12052538001</v>
      </c>
      <c r="U204" s="1">
        <v>212649.62947672</v>
      </c>
      <c r="V204" s="1">
        <v>216447.12362177001</v>
      </c>
      <c r="W204" s="1">
        <v>218686.7217851</v>
      </c>
      <c r="X204" s="1">
        <v>233680.62364308001</v>
      </c>
      <c r="Y204" s="1">
        <v>222909.19748649001</v>
      </c>
      <c r="Z204" s="1">
        <v>227988.66603078999</v>
      </c>
      <c r="AA204" s="1">
        <v>235975.24727210999</v>
      </c>
      <c r="AB204" s="1">
        <v>248179.91</v>
      </c>
      <c r="AC204" s="1">
        <v>265126.06</v>
      </c>
      <c r="AD204" s="1">
        <v>264845.37</v>
      </c>
    </row>
    <row r="205" spans="1:30">
      <c r="A205" s="1" t="s">
        <v>85</v>
      </c>
      <c r="B205" s="1" t="s">
        <v>67</v>
      </c>
      <c r="C205" s="1" t="s">
        <v>32</v>
      </c>
      <c r="D205" s="1" t="s">
        <v>32</v>
      </c>
      <c r="E205" s="1">
        <v>454.82494982246999</v>
      </c>
      <c r="F205" s="1">
        <v>459.98264766072299</v>
      </c>
      <c r="G205" s="1">
        <v>471.48222685871298</v>
      </c>
      <c r="H205" s="1">
        <v>482.94888110220501</v>
      </c>
      <c r="I205" s="1">
        <v>487.40824288523498</v>
      </c>
      <c r="J205" s="1">
        <v>501.009296323478</v>
      </c>
      <c r="K205" s="1">
        <v>511.748925950944</v>
      </c>
      <c r="L205" s="1">
        <v>530.42551014206595</v>
      </c>
      <c r="M205" s="1">
        <v>552.22452198783299</v>
      </c>
      <c r="N205" s="1">
        <v>572.79696987553905</v>
      </c>
      <c r="O205" s="1">
        <v>629.94788979999998</v>
      </c>
      <c r="P205" s="1">
        <v>664.14365239999995</v>
      </c>
      <c r="Q205" s="1">
        <v>705.17929271000003</v>
      </c>
      <c r="R205" s="1">
        <v>740.63906725000004</v>
      </c>
      <c r="S205" s="1">
        <v>794.58835299999998</v>
      </c>
      <c r="T205" s="1">
        <v>832.95450126000003</v>
      </c>
      <c r="U205" s="1">
        <v>877.78784484000005</v>
      </c>
      <c r="V205" s="1">
        <v>891.26076665999994</v>
      </c>
      <c r="W205" s="1">
        <v>908.52016737999998</v>
      </c>
      <c r="X205" s="1">
        <v>938.70747117999997</v>
      </c>
      <c r="Y205" s="1">
        <v>813.60528859999999</v>
      </c>
      <c r="Z205" s="1">
        <v>829.02930135999998</v>
      </c>
      <c r="AA205" s="1">
        <v>846.47668246000001</v>
      </c>
      <c r="AB205" s="1">
        <v>877.38</v>
      </c>
      <c r="AC205" s="1">
        <v>921.1</v>
      </c>
      <c r="AD205" s="1">
        <v>915.95</v>
      </c>
    </row>
    <row r="206" spans="1:30">
      <c r="A206" s="1" t="s">
        <v>85</v>
      </c>
      <c r="B206" s="1" t="s">
        <v>12</v>
      </c>
      <c r="C206" s="1" t="s">
        <v>12</v>
      </c>
      <c r="D206" s="1" t="s">
        <v>12</v>
      </c>
      <c r="E206" s="1">
        <v>80.574299364964702</v>
      </c>
      <c r="F206" s="1">
        <v>92.516951888235994</v>
      </c>
      <c r="G206" s="1">
        <v>104.62891590011201</v>
      </c>
      <c r="H206" s="1">
        <v>120.78345121791899</v>
      </c>
      <c r="I206" s="1">
        <v>124.841199705915</v>
      </c>
      <c r="J206" s="1">
        <v>136.89216862760401</v>
      </c>
      <c r="K206" s="1">
        <v>152.30295043373499</v>
      </c>
      <c r="L206" s="1">
        <v>170.25774867934899</v>
      </c>
      <c r="M206" s="1">
        <v>187.52612779579599</v>
      </c>
      <c r="N206" s="1">
        <v>214.59952385825599</v>
      </c>
      <c r="O206" s="1">
        <v>237.29660817999999</v>
      </c>
      <c r="P206" s="1">
        <v>253.71398918</v>
      </c>
      <c r="Q206" s="1">
        <v>265.97000271000002</v>
      </c>
      <c r="R206" s="1">
        <v>273.90789747999997</v>
      </c>
      <c r="S206" s="1">
        <v>283.11258978000001</v>
      </c>
      <c r="T206" s="1">
        <v>294.30530570000002</v>
      </c>
      <c r="U206" s="1">
        <v>294.53015868</v>
      </c>
      <c r="V206" s="1">
        <v>308.40830532000001</v>
      </c>
      <c r="W206" s="1">
        <v>318.15075803000002</v>
      </c>
      <c r="X206" s="1">
        <v>333.85714676999999</v>
      </c>
      <c r="Y206" s="1">
        <v>332.18107443999997</v>
      </c>
      <c r="Z206" s="1">
        <v>339.34055688000001</v>
      </c>
      <c r="AA206" s="1">
        <v>353.95628725</v>
      </c>
      <c r="AB206" s="1">
        <v>375.69</v>
      </c>
      <c r="AC206" s="1">
        <v>397.59</v>
      </c>
      <c r="AD206" s="1">
        <v>427.14</v>
      </c>
    </row>
    <row r="207" spans="1:30">
      <c r="A207" s="1" t="s">
        <v>85</v>
      </c>
      <c r="B207" s="1" t="s">
        <v>5</v>
      </c>
      <c r="C207" s="1" t="s">
        <v>5</v>
      </c>
      <c r="D207" s="1" t="s">
        <v>5</v>
      </c>
      <c r="E207" s="1">
        <v>13472.7343303746</v>
      </c>
      <c r="F207" s="1">
        <v>17432.7023448334</v>
      </c>
      <c r="G207" s="1">
        <v>17167.144918129601</v>
      </c>
      <c r="H207" s="1">
        <v>17650.4008340254</v>
      </c>
      <c r="I207" s="1">
        <v>17765.323666873999</v>
      </c>
      <c r="J207" s="1">
        <v>17950.327555045398</v>
      </c>
      <c r="K207" s="1">
        <v>16642.405877483401</v>
      </c>
      <c r="L207" s="1">
        <v>18240.896537418699</v>
      </c>
      <c r="M207" s="1">
        <v>20922.122257948002</v>
      </c>
      <c r="N207" s="1">
        <v>21191.451571839902</v>
      </c>
      <c r="O207" s="1">
        <v>24255.278175700001</v>
      </c>
      <c r="P207" s="1">
        <v>27265.30658724</v>
      </c>
      <c r="Q207" s="1">
        <v>28595.7748593</v>
      </c>
      <c r="R207" s="1">
        <v>29692.33491062</v>
      </c>
      <c r="S207" s="1">
        <v>30951.985928630002</v>
      </c>
      <c r="T207" s="1">
        <v>30879.89701225</v>
      </c>
      <c r="U207" s="1">
        <v>31016.887692870001</v>
      </c>
      <c r="V207" s="1">
        <v>32207.044471590001</v>
      </c>
      <c r="W207" s="1">
        <v>34104.17271033</v>
      </c>
      <c r="X207" s="1">
        <v>35709.319373459999</v>
      </c>
      <c r="Y207" s="1">
        <v>34988.963222480001</v>
      </c>
      <c r="Z207" s="1">
        <v>35730.220513139997</v>
      </c>
      <c r="AA207" s="1">
        <v>38502.029823680001</v>
      </c>
      <c r="AB207" s="1">
        <v>38517.96</v>
      </c>
      <c r="AC207" s="1">
        <v>38163.879999999997</v>
      </c>
      <c r="AD207" s="1">
        <v>40445.94</v>
      </c>
    </row>
    <row r="208" spans="1:30">
      <c r="A208" s="1" t="s">
        <v>85</v>
      </c>
      <c r="B208" s="1" t="s">
        <v>7</v>
      </c>
      <c r="C208" s="1" t="s">
        <v>7</v>
      </c>
      <c r="D208" s="1" t="s">
        <v>7</v>
      </c>
      <c r="E208" s="1">
        <v>7526.1716633364003</v>
      </c>
      <c r="F208" s="1">
        <v>7621.1378614568303</v>
      </c>
      <c r="G208" s="1">
        <v>13056.7699419205</v>
      </c>
      <c r="H208" s="1">
        <v>14177.5611944224</v>
      </c>
      <c r="I208" s="1">
        <v>12754.9881963643</v>
      </c>
      <c r="J208" s="1">
        <v>11174.0059556984</v>
      </c>
      <c r="K208" s="1">
        <v>10606.6735998241</v>
      </c>
      <c r="L208" s="1">
        <v>10286.803685456</v>
      </c>
      <c r="M208" s="1">
        <v>10134.805242549901</v>
      </c>
      <c r="N208" s="1">
        <v>9201.2294790536707</v>
      </c>
      <c r="O208" s="1">
        <v>8890.0790513400007</v>
      </c>
      <c r="P208" s="1">
        <v>9757.0141369600005</v>
      </c>
      <c r="Q208" s="1">
        <v>10303.929102640001</v>
      </c>
      <c r="R208" s="1">
        <v>11485.79888093</v>
      </c>
      <c r="S208" s="1">
        <v>11592.34811511</v>
      </c>
      <c r="T208" s="1">
        <v>12079.30338198</v>
      </c>
      <c r="U208" s="1">
        <v>12606.327662940001</v>
      </c>
      <c r="V208" s="1">
        <v>13412.340158630001</v>
      </c>
      <c r="W208" s="1">
        <v>13684.53506733</v>
      </c>
      <c r="X208" s="1">
        <v>14053.72323</v>
      </c>
      <c r="Y208" s="1">
        <v>13530.958730660001</v>
      </c>
      <c r="Z208" s="1">
        <v>12796.976317049999</v>
      </c>
      <c r="AA208" s="1">
        <v>12319.253451910001</v>
      </c>
      <c r="AB208" s="1">
        <v>12684.06</v>
      </c>
      <c r="AC208" s="1">
        <v>13300.91</v>
      </c>
      <c r="AD208" s="1">
        <v>13144.83</v>
      </c>
    </row>
    <row r="209" spans="1:30">
      <c r="A209" s="1" t="s">
        <v>85</v>
      </c>
      <c r="B209" s="1" t="s">
        <v>13</v>
      </c>
      <c r="C209" s="1" t="s">
        <v>13</v>
      </c>
      <c r="D209" s="1" t="s">
        <v>13</v>
      </c>
      <c r="E209" s="1">
        <v>409.192830147162</v>
      </c>
      <c r="F209" s="1">
        <v>442.70592294132598</v>
      </c>
      <c r="G209" s="1">
        <v>457.11885576149501</v>
      </c>
      <c r="H209" s="1">
        <v>473.71524804201403</v>
      </c>
      <c r="I209" s="1">
        <v>487.95414922264001</v>
      </c>
      <c r="J209" s="1">
        <v>505.427263394178</v>
      </c>
      <c r="K209" s="1">
        <v>526.34819189007897</v>
      </c>
      <c r="L209" s="1">
        <v>482.52353691886702</v>
      </c>
      <c r="M209" s="1">
        <v>509.556679573574</v>
      </c>
      <c r="N209" s="1">
        <v>533.01315360276897</v>
      </c>
      <c r="O209" s="1">
        <v>579.50566860000004</v>
      </c>
      <c r="P209" s="1">
        <v>654.51041562</v>
      </c>
      <c r="Q209" s="1">
        <v>663.46360157000004</v>
      </c>
      <c r="R209" s="1">
        <v>674.42582752999999</v>
      </c>
      <c r="S209" s="1">
        <v>819.21622815000001</v>
      </c>
      <c r="T209" s="1">
        <v>811.27250285000002</v>
      </c>
      <c r="U209" s="1">
        <v>842.96868372999995</v>
      </c>
      <c r="V209" s="1">
        <v>844.75782408999999</v>
      </c>
      <c r="W209" s="1">
        <v>782.56919803999995</v>
      </c>
      <c r="X209" s="1">
        <v>747.34023603000003</v>
      </c>
      <c r="Y209" s="1">
        <v>741.54235226000003</v>
      </c>
      <c r="Z209" s="1">
        <v>724.80686578999996</v>
      </c>
      <c r="AA209" s="1">
        <v>716.90060430999995</v>
      </c>
      <c r="AB209" s="1">
        <v>727.28</v>
      </c>
      <c r="AC209" s="1">
        <v>724.86</v>
      </c>
      <c r="AD209" s="1">
        <v>732.63</v>
      </c>
    </row>
    <row r="210" spans="1:30">
      <c r="A210" s="1" t="s">
        <v>85</v>
      </c>
      <c r="B210" s="1" t="s">
        <v>70</v>
      </c>
      <c r="C210" s="1" t="s">
        <v>46</v>
      </c>
      <c r="D210" s="1" t="s">
        <v>46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10589.650401790001</v>
      </c>
      <c r="P210" s="1">
        <v>11444.99282125</v>
      </c>
      <c r="Q210" s="1">
        <v>12432.417885139999</v>
      </c>
      <c r="R210" s="1">
        <v>14004.97120573</v>
      </c>
      <c r="S210" s="1">
        <v>15345.733705930001</v>
      </c>
      <c r="T210" s="1">
        <v>14941.85665835</v>
      </c>
      <c r="U210" s="1">
        <v>14416</v>
      </c>
      <c r="V210" s="1">
        <v>15444</v>
      </c>
      <c r="W210" s="1">
        <v>15987.520539790001</v>
      </c>
      <c r="X210" s="1">
        <v>16802.404168870002</v>
      </c>
      <c r="Y210" s="1">
        <v>15664.218763229999</v>
      </c>
      <c r="Z210" s="1">
        <v>16725.770600100001</v>
      </c>
      <c r="AA210" s="1">
        <v>17917.971141120001</v>
      </c>
      <c r="AB210" s="1">
        <v>18561.419999999998</v>
      </c>
      <c r="AC210" s="1">
        <v>18613.77</v>
      </c>
      <c r="AD210" s="1">
        <v>18409.97</v>
      </c>
    </row>
    <row r="211" spans="1:30">
      <c r="A211" s="1" t="s">
        <v>85</v>
      </c>
      <c r="B211" s="1" t="s">
        <v>76</v>
      </c>
      <c r="C211" s="1" t="s">
        <v>30</v>
      </c>
      <c r="D211" s="1" t="s">
        <v>30</v>
      </c>
      <c r="E211" s="1">
        <v>1584.34624643849</v>
      </c>
      <c r="F211" s="1">
        <v>1611.52535886336</v>
      </c>
      <c r="G211" s="1">
        <v>1625.0334528478199</v>
      </c>
      <c r="H211" s="1">
        <v>1646.0195059431901</v>
      </c>
      <c r="I211" s="1">
        <v>1680.51558302645</v>
      </c>
      <c r="J211" s="1">
        <v>1714.9145166039</v>
      </c>
      <c r="K211" s="1">
        <v>1759.2404228073001</v>
      </c>
      <c r="L211" s="1">
        <v>2084.3807098224001</v>
      </c>
      <c r="M211" s="1">
        <v>2032.6577068266699</v>
      </c>
      <c r="N211" s="1">
        <v>1884.74554514277</v>
      </c>
      <c r="O211" s="1">
        <v>2032.6577074700001</v>
      </c>
      <c r="P211" s="1">
        <v>2090.98685806</v>
      </c>
      <c r="Q211" s="1">
        <v>2156.4497879</v>
      </c>
      <c r="R211" s="1">
        <v>2216.7469566</v>
      </c>
      <c r="S211" s="1">
        <v>1932.6118620899999</v>
      </c>
      <c r="T211" s="1">
        <v>2055.8370033299998</v>
      </c>
      <c r="U211" s="1">
        <v>2023.5143735900001</v>
      </c>
      <c r="V211" s="1">
        <v>2250.62422513</v>
      </c>
      <c r="W211" s="1">
        <v>2520.0930279999998</v>
      </c>
      <c r="X211" s="1">
        <v>2736.8641027899998</v>
      </c>
      <c r="Y211" s="1">
        <v>3008.387111</v>
      </c>
      <c r="Z211" s="1">
        <v>4594.7599730000002</v>
      </c>
      <c r="AA211" s="1">
        <v>6535.6049899999998</v>
      </c>
      <c r="AB211" s="1">
        <v>9892.9699999999993</v>
      </c>
      <c r="AC211" s="1">
        <v>10830.58</v>
      </c>
      <c r="AD211" s="1">
        <v>16600.310000000001</v>
      </c>
    </row>
    <row r="212" spans="1:30">
      <c r="A212" s="1" t="s">
        <v>85</v>
      </c>
      <c r="B212" s="1" t="s">
        <v>71</v>
      </c>
      <c r="C212" s="1" t="s">
        <v>38</v>
      </c>
      <c r="D212" s="1" t="s">
        <v>38</v>
      </c>
      <c r="E212" s="1">
        <v>3193.46397399535</v>
      </c>
      <c r="F212" s="1">
        <v>2125.8841651635498</v>
      </c>
      <c r="G212" s="1">
        <v>2018.7216925947</v>
      </c>
      <c r="H212" s="1">
        <v>1855.67250378422</v>
      </c>
      <c r="I212" s="1">
        <v>1789.1285547667601</v>
      </c>
      <c r="J212" s="1">
        <v>1776.30762729034</v>
      </c>
      <c r="K212" s="1">
        <v>1861.1909214765301</v>
      </c>
      <c r="L212" s="1">
        <v>2024.13538870608</v>
      </c>
      <c r="M212" s="1">
        <v>2282.2444863350602</v>
      </c>
      <c r="N212" s="1">
        <v>2407.68552909244</v>
      </c>
      <c r="O212" s="1">
        <v>2483.77396</v>
      </c>
      <c r="P212" s="1">
        <v>2687.95326669</v>
      </c>
      <c r="Q212" s="1">
        <v>2868.2583</v>
      </c>
      <c r="R212" s="1">
        <v>3022.9990528899998</v>
      </c>
      <c r="S212" s="1">
        <v>3229.6539118300002</v>
      </c>
      <c r="T212" s="1">
        <v>3503.7552736900002</v>
      </c>
      <c r="U212" s="1">
        <v>3659.3025943399998</v>
      </c>
      <c r="V212" s="1">
        <v>3991.1833434300001</v>
      </c>
      <c r="W212" s="1">
        <v>4344.2246501099999</v>
      </c>
      <c r="X212" s="1">
        <v>4694.0042583300001</v>
      </c>
      <c r="Y212" s="1">
        <v>4630.5075436699999</v>
      </c>
      <c r="Z212" s="1">
        <v>4869.17028269</v>
      </c>
      <c r="AA212" s="1">
        <v>4881.6495228399999</v>
      </c>
      <c r="AB212" s="1">
        <v>4908.46</v>
      </c>
      <c r="AC212" s="1">
        <v>5043.43</v>
      </c>
      <c r="AD212" s="1">
        <v>5153.8599999999997</v>
      </c>
    </row>
    <row r="213" spans="1:30">
      <c r="A213" s="1" t="s">
        <v>85</v>
      </c>
      <c r="B213" s="1" t="s">
        <v>56</v>
      </c>
      <c r="C213" s="1" t="s">
        <v>41</v>
      </c>
      <c r="D213" s="1" t="s">
        <v>41</v>
      </c>
      <c r="E213" s="1">
        <v>3130.7611564813901</v>
      </c>
      <c r="F213" s="1">
        <v>2743.78655307286</v>
      </c>
      <c r="G213" s="1">
        <v>2730.1507879156002</v>
      </c>
      <c r="H213" s="1">
        <v>2693.2059781071598</v>
      </c>
      <c r="I213" s="1">
        <v>2405.6206585956202</v>
      </c>
      <c r="J213" s="1">
        <v>2560.0435260324998</v>
      </c>
      <c r="K213" s="1">
        <v>2666.8267883591502</v>
      </c>
      <c r="L213" s="1">
        <v>2927.5829866794402</v>
      </c>
      <c r="M213" s="1">
        <v>3106.9402177177199</v>
      </c>
      <c r="N213" s="1">
        <v>3151.3297192790001</v>
      </c>
      <c r="O213" s="1">
        <v>3336.3402639999999</v>
      </c>
      <c r="P213" s="1">
        <v>3693.9909160000002</v>
      </c>
      <c r="Q213" s="1">
        <v>4135.2551640000001</v>
      </c>
      <c r="R213" s="1">
        <v>5211.647422</v>
      </c>
      <c r="S213" s="1">
        <v>5480.3737060000003</v>
      </c>
      <c r="T213" s="1">
        <v>5814.9389849999998</v>
      </c>
      <c r="U213" s="1">
        <v>6144.9949079999997</v>
      </c>
      <c r="V213" s="1">
        <v>6440.5406350000003</v>
      </c>
      <c r="W213" s="1">
        <v>6792.014013</v>
      </c>
      <c r="X213" s="1">
        <v>7099.7945730000001</v>
      </c>
      <c r="Y213" s="1">
        <v>6936.056853</v>
      </c>
      <c r="Z213" s="1">
        <v>7069.0916360000001</v>
      </c>
      <c r="AA213" s="1">
        <v>7253.9901827599997</v>
      </c>
      <c r="AB213" s="1">
        <v>7510.22</v>
      </c>
      <c r="AC213" s="1">
        <v>7812.29</v>
      </c>
      <c r="AD213" s="1">
        <v>7945.15</v>
      </c>
    </row>
    <row r="214" spans="1:30">
      <c r="A214" s="1" t="s">
        <v>85</v>
      </c>
      <c r="B214" s="1" t="s">
        <v>14</v>
      </c>
      <c r="C214" s="1" t="s">
        <v>14</v>
      </c>
      <c r="D214" s="1" t="s">
        <v>14</v>
      </c>
      <c r="E214" s="1">
        <v>85296.917840045498</v>
      </c>
      <c r="F214" s="1">
        <v>93453.217941113006</v>
      </c>
      <c r="G214" s="1">
        <v>90838.701157406307</v>
      </c>
      <c r="H214" s="1">
        <v>87683.037893706394</v>
      </c>
      <c r="I214" s="1">
        <v>55893.188114691002</v>
      </c>
      <c r="J214" s="1">
        <v>90401.087976240902</v>
      </c>
      <c r="K214" s="1">
        <v>62037.296501985198</v>
      </c>
      <c r="L214" s="1">
        <v>62390.294313589402</v>
      </c>
      <c r="M214" s="1">
        <v>54017.901701685099</v>
      </c>
      <c r="N214" s="1">
        <v>72424.731944249696</v>
      </c>
      <c r="O214" s="1">
        <v>59693.872123189998</v>
      </c>
      <c r="P214" s="1">
        <v>50008.938397860002</v>
      </c>
      <c r="Q214" s="1">
        <v>46801.234199289996</v>
      </c>
      <c r="R214" s="1">
        <v>51011.146421919999</v>
      </c>
      <c r="S214" s="1">
        <v>49579.812955759997</v>
      </c>
      <c r="T214" s="1">
        <v>52911.360979279998</v>
      </c>
      <c r="U214" s="1">
        <v>59840.372508820001</v>
      </c>
      <c r="V214" s="1">
        <v>62174.059715130003</v>
      </c>
      <c r="W214" s="1">
        <v>68611.175144499997</v>
      </c>
      <c r="X214" s="1">
        <v>38925.046242659999</v>
      </c>
      <c r="Y214" s="1">
        <v>45395.188893289996</v>
      </c>
      <c r="Z214" s="1">
        <v>63915.451754280002</v>
      </c>
      <c r="AA214" s="1">
        <v>74220.082235359994</v>
      </c>
      <c r="AB214" s="1">
        <v>451.67</v>
      </c>
      <c r="AC214" s="1">
        <v>473.45</v>
      </c>
      <c r="AD214" s="1">
        <v>491.67</v>
      </c>
    </row>
    <row r="215" spans="1:30">
      <c r="A215" s="1" t="s">
        <v>85</v>
      </c>
      <c r="B215" s="1" t="s">
        <v>81</v>
      </c>
      <c r="C215" s="1" t="s">
        <v>94</v>
      </c>
      <c r="D215" s="1" t="s">
        <v>14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>
        <v>152.53</v>
      </c>
      <c r="AB215" s="1">
        <v>159.94</v>
      </c>
      <c r="AC215" s="1">
        <v>163.29</v>
      </c>
      <c r="AD215" s="1">
        <v>167.52</v>
      </c>
    </row>
    <row r="216" spans="1:30">
      <c r="A216" s="1" t="s">
        <v>85</v>
      </c>
      <c r="B216" s="1" t="s">
        <v>4</v>
      </c>
      <c r="C216" s="1" t="s">
        <v>4</v>
      </c>
      <c r="D216" s="1" t="s">
        <v>4</v>
      </c>
      <c r="E216" s="1">
        <v>132540.550079929</v>
      </c>
      <c r="F216" s="1">
        <v>123475.82149080699</v>
      </c>
      <c r="G216" s="1">
        <v>121400.85752675599</v>
      </c>
      <c r="H216" s="1">
        <v>114095.608296165</v>
      </c>
      <c r="I216" s="1">
        <v>112738.895987119</v>
      </c>
      <c r="J216" s="1">
        <v>116926.05610280301</v>
      </c>
      <c r="K216" s="1">
        <v>120326.21199717501</v>
      </c>
      <c r="L216" s="1">
        <v>120171.82144480399</v>
      </c>
      <c r="M216" s="1">
        <v>124890.133527026</v>
      </c>
      <c r="N216" s="1">
        <v>124864.268666823</v>
      </c>
      <c r="O216" s="1">
        <v>126754.6966461</v>
      </c>
      <c r="P216" s="1">
        <v>130695.41391349</v>
      </c>
      <c r="Q216" s="1">
        <v>128830.86930195001</v>
      </c>
      <c r="R216" s="1">
        <v>123107.88031752</v>
      </c>
      <c r="S216" s="1">
        <v>116655.82289506</v>
      </c>
      <c r="T216" s="1">
        <v>108549.18456952</v>
      </c>
      <c r="U216" s="1">
        <v>103958.45176701</v>
      </c>
      <c r="V216" s="1">
        <v>97348.953100359999</v>
      </c>
      <c r="W216" s="1">
        <v>92055.331194319995</v>
      </c>
      <c r="X216" s="1">
        <v>85631.560043670004</v>
      </c>
      <c r="Y216" s="1">
        <v>80190.792637649996</v>
      </c>
      <c r="Z216" s="1">
        <v>77687.796277829999</v>
      </c>
      <c r="AA216" s="1">
        <v>78744.076008090007</v>
      </c>
      <c r="AB216" s="1">
        <v>80730.22</v>
      </c>
      <c r="AC216" s="1">
        <v>81020.06</v>
      </c>
      <c r="AD216" s="1">
        <v>81117.350000000006</v>
      </c>
    </row>
    <row r="217" spans="1:30">
      <c r="A217" s="1" t="s">
        <v>85</v>
      </c>
      <c r="B217" s="1" t="s">
        <v>60</v>
      </c>
      <c r="C217" s="1" t="s">
        <v>29</v>
      </c>
      <c r="D217" s="1" t="s">
        <v>29</v>
      </c>
      <c r="E217" s="1"/>
      <c r="F217" s="1"/>
      <c r="G217" s="1"/>
      <c r="H217" s="1">
        <v>20782.579126204499</v>
      </c>
      <c r="I217" s="1">
        <v>19858.515492704199</v>
      </c>
      <c r="J217" s="1">
        <v>19803.139482054099</v>
      </c>
      <c r="K217" s="1">
        <v>20145.9433575068</v>
      </c>
      <c r="L217" s="1">
        <v>19959.660124611</v>
      </c>
      <c r="M217" s="1">
        <v>19419.688446990898</v>
      </c>
      <c r="N217" s="1">
        <v>19632.8331686813</v>
      </c>
      <c r="O217" s="1">
        <v>19854.861332320001</v>
      </c>
      <c r="P217" s="1">
        <v>20380.232247780001</v>
      </c>
      <c r="Q217" s="1">
        <v>21413.423151409999</v>
      </c>
      <c r="R217" s="1">
        <v>22111.055655200002</v>
      </c>
      <c r="S217" s="1">
        <v>23270.77690845</v>
      </c>
      <c r="T217" s="1">
        <v>25417.32660357</v>
      </c>
      <c r="U217" s="1">
        <v>26883.18909131</v>
      </c>
      <c r="V217" s="1">
        <v>25648.8268231</v>
      </c>
      <c r="W217" s="1">
        <v>25995.357851159999</v>
      </c>
      <c r="X217" s="1">
        <v>26019.453450680001</v>
      </c>
      <c r="Y217" s="1">
        <v>24933.54686862</v>
      </c>
      <c r="Z217" s="1">
        <v>24748.824449629999</v>
      </c>
      <c r="AA217" s="1">
        <v>23015.612204329998</v>
      </c>
      <c r="AB217" s="1">
        <v>22406.26</v>
      </c>
      <c r="AC217" s="1">
        <v>20651</v>
      </c>
      <c r="AD217" s="1">
        <v>23956.26</v>
      </c>
    </row>
    <row r="218" spans="1:30">
      <c r="A218" s="1" t="s">
        <v>85</v>
      </c>
      <c r="B218" s="1" t="s">
        <v>74</v>
      </c>
      <c r="C218" s="1" t="s">
        <v>37</v>
      </c>
      <c r="D218" s="1" t="s">
        <v>37</v>
      </c>
      <c r="E218" s="1">
        <v>2802.5718224479401</v>
      </c>
      <c r="F218" s="1">
        <v>2643.5087692638699</v>
      </c>
      <c r="G218" s="1">
        <v>3399.46060089914</v>
      </c>
      <c r="H218" s="1">
        <v>5142.7341959243904</v>
      </c>
      <c r="I218" s="1">
        <v>5176.4172444239202</v>
      </c>
      <c r="J218" s="1">
        <v>5629.2729720407397</v>
      </c>
      <c r="K218" s="1">
        <v>5308.9210698533998</v>
      </c>
      <c r="L218" s="1">
        <v>6574.8100988792803</v>
      </c>
      <c r="M218" s="1">
        <v>6360.5112173798198</v>
      </c>
      <c r="N218" s="1">
        <v>6745.2897890513696</v>
      </c>
      <c r="O218" s="1">
        <v>8296.1020000000008</v>
      </c>
      <c r="P218" s="1">
        <v>10690.6342178</v>
      </c>
      <c r="Q218" s="1">
        <v>13833.54884566</v>
      </c>
      <c r="R218" s="1">
        <v>14861.406761</v>
      </c>
      <c r="S218" s="1">
        <v>14006.98777851</v>
      </c>
      <c r="T218" s="1">
        <v>15389.88778741</v>
      </c>
      <c r="U218" s="1">
        <v>15434.394967759999</v>
      </c>
      <c r="V218" s="1">
        <v>17405.81392456</v>
      </c>
      <c r="W218" s="1">
        <v>18529.897031569999</v>
      </c>
      <c r="X218" s="1">
        <v>19824.349104929999</v>
      </c>
      <c r="Y218" s="1">
        <v>18505.197832189999</v>
      </c>
      <c r="Z218" s="1">
        <v>18559.488862089998</v>
      </c>
      <c r="AA218" s="1">
        <v>18838.221922730001</v>
      </c>
      <c r="AB218" s="1">
        <v>20347.03</v>
      </c>
      <c r="AC218" s="1">
        <v>21617.43</v>
      </c>
      <c r="AD218" s="1">
        <v>22995.24</v>
      </c>
    </row>
    <row r="219" spans="1:30">
      <c r="A219" s="1" t="s">
        <v>85</v>
      </c>
      <c r="B219" s="1" t="s">
        <v>68</v>
      </c>
      <c r="C219" s="1" t="s">
        <v>25</v>
      </c>
      <c r="D219" s="1" t="s">
        <v>25</v>
      </c>
      <c r="E219" s="1">
        <v>9802.9889990335905</v>
      </c>
      <c r="F219" s="1">
        <v>10327.0310117847</v>
      </c>
      <c r="G219" s="1">
        <v>14694.045524739</v>
      </c>
      <c r="H219" s="1">
        <v>15825.8501241503</v>
      </c>
      <c r="I219" s="1">
        <v>16188.5581621646</v>
      </c>
      <c r="J219" s="1">
        <v>17497.846562040599</v>
      </c>
      <c r="K219" s="1">
        <v>18804.9445280213</v>
      </c>
      <c r="L219" s="1">
        <v>19754.508858871399</v>
      </c>
      <c r="M219" s="1">
        <v>21247.7362991931</v>
      </c>
      <c r="N219" s="1">
        <v>22015.1299929417</v>
      </c>
      <c r="O219" s="1">
        <v>23681.71849988</v>
      </c>
      <c r="P219" s="1">
        <v>26781.063107490001</v>
      </c>
      <c r="Q219" s="1">
        <v>28667.199585869999</v>
      </c>
      <c r="R219" s="1">
        <v>29824.40537117</v>
      </c>
      <c r="S219" s="1">
        <v>30491.767262279998</v>
      </c>
      <c r="T219" s="1">
        <v>30287.696541249999</v>
      </c>
      <c r="U219" s="1">
        <v>30396.55228833</v>
      </c>
      <c r="V219" s="1">
        <v>31641.061044040001</v>
      </c>
      <c r="W219" s="1">
        <v>32940.944710069998</v>
      </c>
      <c r="X219" s="1">
        <v>33387.575893230001</v>
      </c>
      <c r="Y219" s="1">
        <v>31906.406310990002</v>
      </c>
      <c r="Z219" s="1">
        <v>33226.732430290002</v>
      </c>
      <c r="AA219" s="1">
        <v>35093.566889000002</v>
      </c>
      <c r="AB219" s="1">
        <v>36176.089999999997</v>
      </c>
      <c r="AC219" s="1">
        <v>37270.51</v>
      </c>
      <c r="AD219" s="1">
        <v>37259.379999999997</v>
      </c>
    </row>
    <row r="220" spans="1:30">
      <c r="A220" s="1" t="s">
        <v>85</v>
      </c>
      <c r="B220" s="1" t="s">
        <v>79</v>
      </c>
      <c r="C220" s="1" t="s">
        <v>92</v>
      </c>
      <c r="D220" s="1" t="s">
        <v>14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>
        <v>244.49</v>
      </c>
      <c r="AB220" s="1">
        <v>256.64</v>
      </c>
      <c r="AC220" s="1">
        <v>265.89</v>
      </c>
      <c r="AD220" s="1">
        <v>274.45</v>
      </c>
    </row>
    <row r="221" spans="1:30">
      <c r="A221" s="1" t="s">
        <v>85</v>
      </c>
      <c r="B221" s="1" t="s">
        <v>73</v>
      </c>
      <c r="C221" s="1" t="s">
        <v>35</v>
      </c>
      <c r="D221" s="1" t="s">
        <v>35</v>
      </c>
      <c r="E221" s="1">
        <v>7867.5918457368398</v>
      </c>
      <c r="F221" s="1">
        <v>8327.0718819896101</v>
      </c>
      <c r="G221" s="1">
        <v>8005.4467771133004</v>
      </c>
      <c r="H221" s="1">
        <v>8890.4453405600198</v>
      </c>
      <c r="I221" s="1">
        <v>9701.1871619105204</v>
      </c>
      <c r="J221" s="1">
        <v>10120.3749600829</v>
      </c>
      <c r="K221" s="1">
        <v>10791.102458326301</v>
      </c>
      <c r="L221" s="1">
        <v>11528.232415605</v>
      </c>
      <c r="M221" s="1">
        <v>11189.3333998246</v>
      </c>
      <c r="N221" s="1">
        <v>10684.2129655467</v>
      </c>
      <c r="O221" s="1">
        <v>12366.18403968</v>
      </c>
      <c r="P221" s="1">
        <v>11896.68342747</v>
      </c>
      <c r="Q221" s="1">
        <v>12529.942984269999</v>
      </c>
      <c r="R221" s="1">
        <v>13241.082086369999</v>
      </c>
      <c r="S221" s="1">
        <v>14712.008447730001</v>
      </c>
      <c r="T221" s="1">
        <v>15802.95188309</v>
      </c>
      <c r="U221" s="1">
        <v>15996.25927223</v>
      </c>
      <c r="V221" s="1">
        <v>16604.135519240001</v>
      </c>
      <c r="W221" s="1">
        <v>16788.76012517</v>
      </c>
      <c r="X221" s="1">
        <v>17237.896228279998</v>
      </c>
      <c r="Y221" s="1">
        <v>17330.643739449999</v>
      </c>
      <c r="Z221" s="1">
        <v>17228.08219868</v>
      </c>
      <c r="AA221" s="1">
        <v>17283.685445120002</v>
      </c>
      <c r="AB221" s="1">
        <v>19639.349999999999</v>
      </c>
      <c r="AC221" s="1">
        <v>20128.46</v>
      </c>
      <c r="AD221" s="1">
        <v>21055.08</v>
      </c>
    </row>
    <row r="222" spans="1:30">
      <c r="A222" s="1" t="s">
        <v>85</v>
      </c>
      <c r="B222" s="1" t="s">
        <v>58</v>
      </c>
      <c r="C222" s="1" t="s">
        <v>40</v>
      </c>
      <c r="D222" s="1" t="s">
        <v>40</v>
      </c>
      <c r="E222" s="1">
        <v>41386.658881540701</v>
      </c>
      <c r="F222" s="1">
        <v>42149.728850949803</v>
      </c>
      <c r="G222" s="1">
        <v>42079.456930701301</v>
      </c>
      <c r="H222" s="1">
        <v>42053.440543062599</v>
      </c>
      <c r="I222" s="1">
        <v>42224.3013160189</v>
      </c>
      <c r="J222" s="1">
        <v>42401.425234501701</v>
      </c>
      <c r="K222" s="1">
        <v>42553.445676857198</v>
      </c>
      <c r="L222" s="1">
        <v>42660.809796183203</v>
      </c>
      <c r="M222" s="1">
        <v>43312.886266354901</v>
      </c>
      <c r="N222" s="1">
        <v>44013.576069731302</v>
      </c>
      <c r="O222" s="1">
        <v>45242.847999999998</v>
      </c>
      <c r="P222" s="1">
        <v>47761.798000000003</v>
      </c>
      <c r="Q222" s="1">
        <v>49910.771000000001</v>
      </c>
      <c r="R222" s="1">
        <v>51512.648388900001</v>
      </c>
      <c r="S222" s="1">
        <v>53234.720927199996</v>
      </c>
      <c r="T222" s="1">
        <v>55330.266663360002</v>
      </c>
      <c r="U222" s="1">
        <v>57303.521224600001</v>
      </c>
      <c r="V222" s="1">
        <v>60398.350312269999</v>
      </c>
      <c r="W222" s="1">
        <v>65887.882257859994</v>
      </c>
      <c r="X222" s="1">
        <v>71234.499206349996</v>
      </c>
      <c r="Y222" s="1">
        <v>68330.867245250003</v>
      </c>
      <c r="Z222" s="1">
        <v>72071.694445789995</v>
      </c>
      <c r="AA222" s="1">
        <v>76596.696371149999</v>
      </c>
      <c r="AB222" s="1">
        <v>82688.490000000005</v>
      </c>
      <c r="AC222" s="1">
        <v>85424.43</v>
      </c>
      <c r="AD222" s="1">
        <v>88347.3</v>
      </c>
    </row>
    <row r="223" spans="1:30">
      <c r="A223" s="1" t="s">
        <v>85</v>
      </c>
      <c r="B223" s="1" t="s">
        <v>78</v>
      </c>
      <c r="C223" s="1" t="s">
        <v>91</v>
      </c>
      <c r="D223" s="1" t="s">
        <v>33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>
        <v>3198.11</v>
      </c>
      <c r="AC223" s="1">
        <v>3289.79</v>
      </c>
      <c r="AD223" s="1">
        <v>3443.95</v>
      </c>
    </row>
    <row r="224" spans="1:30">
      <c r="A224" s="1" t="s">
        <v>85</v>
      </c>
      <c r="B224" s="1" t="s">
        <v>61</v>
      </c>
      <c r="C224" s="1" t="s">
        <v>21</v>
      </c>
      <c r="D224" s="1" t="s">
        <v>21</v>
      </c>
      <c r="E224" s="1">
        <v>70825.303686016006</v>
      </c>
      <c r="F224" s="1">
        <v>34496.307705885003</v>
      </c>
      <c r="G224" s="1">
        <v>32285.923130538398</v>
      </c>
      <c r="H224" s="1">
        <v>33225.234808205299</v>
      </c>
      <c r="I224" s="1">
        <v>31097.6628512877</v>
      </c>
      <c r="J224" s="1">
        <v>28829.459131459502</v>
      </c>
      <c r="K224" s="1">
        <v>28179.836658957702</v>
      </c>
      <c r="L224" s="1">
        <v>26946.585503250401</v>
      </c>
      <c r="M224" s="1">
        <v>27647.8328391945</v>
      </c>
      <c r="N224" s="1">
        <v>29964.4171973843</v>
      </c>
      <c r="O224" s="1">
        <v>30126.93167514</v>
      </c>
      <c r="P224" s="1">
        <v>29105.485798000002</v>
      </c>
      <c r="Q224" s="1">
        <v>27213.582306830001</v>
      </c>
      <c r="R224" s="1">
        <v>26872.467194199999</v>
      </c>
      <c r="S224" s="1">
        <v>27291.421363239999</v>
      </c>
      <c r="T224" s="1">
        <v>27403.82015258</v>
      </c>
      <c r="U224" s="1">
        <v>27138.684600320001</v>
      </c>
      <c r="V224" s="1">
        <v>26589.926881930001</v>
      </c>
      <c r="W224" s="1">
        <v>25491.225868820002</v>
      </c>
      <c r="X224" s="1">
        <v>24791.421114910001</v>
      </c>
      <c r="Y224" s="1">
        <v>23771.256402930001</v>
      </c>
      <c r="Z224" s="1">
        <v>23966.19726275</v>
      </c>
      <c r="AA224" s="1">
        <v>23880.32240411</v>
      </c>
      <c r="AB224" s="1">
        <v>23842.080000000002</v>
      </c>
      <c r="AC224" s="1">
        <v>23842.6</v>
      </c>
      <c r="AD224" s="1">
        <v>23723.09</v>
      </c>
    </row>
    <row r="225" spans="1:30">
      <c r="A225" s="1" t="s">
        <v>85</v>
      </c>
      <c r="B225" s="1" t="s">
        <v>64</v>
      </c>
      <c r="C225" s="1" t="s">
        <v>24</v>
      </c>
      <c r="D225" s="1" t="s">
        <v>24</v>
      </c>
      <c r="E225" s="1">
        <v>1868.3677627642601</v>
      </c>
      <c r="F225" s="1">
        <v>1918.14180866894</v>
      </c>
      <c r="G225" s="1">
        <v>1972.25605156854</v>
      </c>
      <c r="H225" s="1">
        <v>1979.1534948810599</v>
      </c>
      <c r="I225" s="1">
        <v>1996.89788090146</v>
      </c>
      <c r="J225" s="1">
        <v>2109.88669488302</v>
      </c>
      <c r="K225" s="1">
        <v>2751.0790657566899</v>
      </c>
      <c r="L225" s="1">
        <v>3037.1723423871599</v>
      </c>
      <c r="M225" s="1">
        <v>3348.4001392483401</v>
      </c>
      <c r="N225" s="1">
        <v>3650.9160045479698</v>
      </c>
      <c r="O225" s="1">
        <v>3977.9594643199998</v>
      </c>
      <c r="P225" s="1">
        <v>4411.7331625400002</v>
      </c>
      <c r="Q225" s="1">
        <v>4590.7255440999998</v>
      </c>
      <c r="R225" s="1">
        <v>4590.0676467100002</v>
      </c>
      <c r="S225" s="1">
        <v>4594.85096419</v>
      </c>
      <c r="T225" s="1">
        <v>4622.3827356199999</v>
      </c>
      <c r="U225" s="1">
        <v>5616.90098468</v>
      </c>
      <c r="V225" s="1">
        <v>5716.7260697499996</v>
      </c>
      <c r="W225" s="1">
        <v>6241.0379787700003</v>
      </c>
      <c r="X225" s="1">
        <v>6671.8335436500001</v>
      </c>
      <c r="Y225" s="1">
        <v>7926.2976010299999</v>
      </c>
      <c r="Z225" s="1">
        <v>8136.1191478600003</v>
      </c>
      <c r="AA225" s="1">
        <v>8333.8805885799993</v>
      </c>
      <c r="AB225" s="1">
        <v>7022.01</v>
      </c>
      <c r="AC225" s="1">
        <v>7167.78</v>
      </c>
      <c r="AD225" s="1">
        <v>9424.5400000000009</v>
      </c>
    </row>
    <row r="226" spans="1:30">
      <c r="A226" s="1" t="s">
        <v>85</v>
      </c>
      <c r="B226" s="1" t="s">
        <v>65</v>
      </c>
      <c r="C226" s="1" t="s">
        <v>31</v>
      </c>
      <c r="D226" s="1" t="s">
        <v>31</v>
      </c>
      <c r="E226" s="1">
        <v>11919.625340732</v>
      </c>
      <c r="F226" s="1">
        <v>14389.8231682076</v>
      </c>
      <c r="G226" s="1">
        <v>14892.4182280357</v>
      </c>
      <c r="H226" s="1">
        <v>14931.163320778</v>
      </c>
      <c r="I226" s="1">
        <v>16255.1623336421</v>
      </c>
      <c r="J226" s="1">
        <v>15635.079771958801</v>
      </c>
      <c r="K226" s="1">
        <v>15184.4117604695</v>
      </c>
      <c r="L226" s="1">
        <v>15603.3784166557</v>
      </c>
      <c r="M226" s="1">
        <v>14185.675043724699</v>
      </c>
      <c r="N226" s="1">
        <v>18258.465731197499</v>
      </c>
      <c r="O226" s="1">
        <v>20471.115440000001</v>
      </c>
      <c r="P226" s="1">
        <v>14709.393087009999</v>
      </c>
      <c r="Q226" s="1">
        <v>10788.742057470001</v>
      </c>
      <c r="R226" s="1">
        <v>11254.50321232</v>
      </c>
      <c r="S226" s="1">
        <v>11238.697883979999</v>
      </c>
      <c r="T226" s="1">
        <v>23174.73375621</v>
      </c>
      <c r="U226" s="1">
        <v>24500.906514769998</v>
      </c>
      <c r="V226" s="1">
        <v>19635.136640929999</v>
      </c>
      <c r="W226" s="1">
        <v>12984.40080098</v>
      </c>
      <c r="X226" s="1">
        <v>13008.31836385</v>
      </c>
      <c r="Y226" s="1">
        <v>16606.139722690001</v>
      </c>
      <c r="Z226" s="1">
        <v>16580.668696190001</v>
      </c>
      <c r="AA226" s="1">
        <v>20331.776988580001</v>
      </c>
      <c r="AB226" s="1">
        <v>18218.419999999998</v>
      </c>
      <c r="AC226" s="1">
        <v>20342.79</v>
      </c>
      <c r="AD226" s="1">
        <v>16263.71</v>
      </c>
    </row>
    <row r="227" spans="1:30">
      <c r="A227" s="1" t="s">
        <v>85</v>
      </c>
      <c r="B227" s="1" t="s">
        <v>77</v>
      </c>
      <c r="C227" s="1" t="s">
        <v>33</v>
      </c>
      <c r="D227" s="1" t="s">
        <v>33</v>
      </c>
      <c r="E227" s="1"/>
      <c r="F227" s="1"/>
      <c r="G227" s="1">
        <v>10027.247130251801</v>
      </c>
      <c r="H227" s="1">
        <v>10493.8403684882</v>
      </c>
      <c r="I227" s="1">
        <v>10760.440136548001</v>
      </c>
      <c r="J227" s="1">
        <v>11334.8133820203</v>
      </c>
      <c r="K227" s="1">
        <v>11133.9886146517</v>
      </c>
      <c r="L227" s="1">
        <v>11190.6782658108</v>
      </c>
      <c r="M227" s="1">
        <v>11333.303418577199</v>
      </c>
      <c r="N227" s="1">
        <v>11315.2041747357</v>
      </c>
      <c r="O227" s="1">
        <v>11220.366151849999</v>
      </c>
      <c r="P227" s="1">
        <v>11247.790043909999</v>
      </c>
      <c r="Q227" s="1">
        <v>10789.9320622</v>
      </c>
      <c r="R227" s="1">
        <v>10913.312065829999</v>
      </c>
      <c r="S227" s="1">
        <v>11009.304261740001</v>
      </c>
      <c r="T227" s="1">
        <v>11142.84089548</v>
      </c>
      <c r="U227" s="1">
        <v>11231.17969246</v>
      </c>
      <c r="V227" s="1">
        <v>11078.62281017</v>
      </c>
      <c r="W227" s="1">
        <v>11541.125136639999</v>
      </c>
      <c r="X227" s="1">
        <v>11489.68927904</v>
      </c>
      <c r="Y227" s="1">
        <v>11487.647334060001</v>
      </c>
      <c r="Z227" s="1">
        <v>11549.83685123</v>
      </c>
      <c r="AA227" s="1">
        <v>11960.149616410001</v>
      </c>
      <c r="AB227" s="1">
        <v>9339.5</v>
      </c>
      <c r="AC227" s="1">
        <v>12120.68</v>
      </c>
      <c r="AD227" s="1">
        <v>12922.76</v>
      </c>
    </row>
    <row r="228" spans="1:30">
      <c r="A228" s="1" t="s">
        <v>85</v>
      </c>
      <c r="B228" s="1" t="s">
        <v>75</v>
      </c>
      <c r="C228" s="1" t="s">
        <v>34</v>
      </c>
      <c r="D228" s="1" t="s">
        <v>34</v>
      </c>
      <c r="E228" s="1"/>
      <c r="F228" s="1"/>
      <c r="G228" s="1"/>
      <c r="H228" s="1"/>
      <c r="I228" s="1"/>
      <c r="J228" s="1">
        <v>129.80364170875501</v>
      </c>
      <c r="K228" s="1">
        <v>139.64435100797499</v>
      </c>
      <c r="L228" s="1">
        <v>174.79224059008899</v>
      </c>
      <c r="M228" s="1">
        <v>283.96427706613099</v>
      </c>
      <c r="N228" s="1">
        <v>339.315147603696</v>
      </c>
      <c r="O228" s="1">
        <v>344.61117999999999</v>
      </c>
      <c r="P228" s="1">
        <v>386.42424999999997</v>
      </c>
      <c r="Q228" s="1">
        <v>431.90105</v>
      </c>
      <c r="R228" s="1">
        <v>477.68819999999999</v>
      </c>
      <c r="S228" s="1">
        <v>516.09201976999998</v>
      </c>
      <c r="T228" s="1">
        <v>557.67142549000005</v>
      </c>
      <c r="U228" s="1">
        <v>618.41709409999999</v>
      </c>
      <c r="V228" s="1">
        <v>657.78958149000005</v>
      </c>
      <c r="W228" s="1">
        <v>712.07348619000004</v>
      </c>
      <c r="X228" s="1">
        <v>749.65931525999997</v>
      </c>
      <c r="Y228" s="1">
        <v>712.89767577999999</v>
      </c>
      <c r="Z228" s="1">
        <v>777.63553839999997</v>
      </c>
      <c r="AA228" s="1">
        <v>782.13406057999998</v>
      </c>
      <c r="AB228" s="1">
        <v>818.92</v>
      </c>
      <c r="AC228" s="1">
        <v>898.75</v>
      </c>
      <c r="AD228" s="1">
        <v>922.67</v>
      </c>
    </row>
    <row r="229" spans="1:30">
      <c r="A229" s="1" t="s">
        <v>85</v>
      </c>
      <c r="B229" s="1" t="s">
        <v>57</v>
      </c>
      <c r="C229" s="1" t="s">
        <v>39</v>
      </c>
      <c r="D229" s="1" t="s">
        <v>39</v>
      </c>
      <c r="E229" s="1">
        <v>3471.4771174123998</v>
      </c>
      <c r="F229" s="1">
        <v>3450.3645239356802</v>
      </c>
      <c r="G229" s="1">
        <v>3515.1390213671498</v>
      </c>
      <c r="H229" s="1">
        <v>3552.3461662291002</v>
      </c>
      <c r="I229" s="1">
        <v>3668.0797250472101</v>
      </c>
      <c r="J229" s="1">
        <v>3781.3087715534898</v>
      </c>
      <c r="K229" s="1">
        <v>3896.2880410354401</v>
      </c>
      <c r="L229" s="1">
        <v>4086.9717019549498</v>
      </c>
      <c r="M229" s="1">
        <v>4318.4881495099298</v>
      </c>
      <c r="N229" s="1">
        <v>4519.7106005683499</v>
      </c>
      <c r="O229" s="1">
        <v>4782.0744943700001</v>
      </c>
      <c r="P229" s="1">
        <v>5028.1878386500002</v>
      </c>
      <c r="Q229" s="1">
        <v>5321.0070557600002</v>
      </c>
      <c r="R229" s="1">
        <v>5722.8212854699996</v>
      </c>
      <c r="S229" s="1">
        <v>5923.5652083900004</v>
      </c>
      <c r="T229" s="1">
        <v>6144.5774510499996</v>
      </c>
      <c r="U229" s="1">
        <v>6267.6067637599999</v>
      </c>
      <c r="V229" s="1">
        <v>6338.2671724700003</v>
      </c>
      <c r="W229" s="1">
        <v>6705.04943241</v>
      </c>
      <c r="X229" s="1">
        <v>7121.8602517500003</v>
      </c>
      <c r="Y229" s="1">
        <v>7028.90761561</v>
      </c>
      <c r="Z229" s="1">
        <v>6904.5460122499999</v>
      </c>
      <c r="AA229" s="1">
        <v>7038.2769547600001</v>
      </c>
      <c r="AB229" s="1">
        <v>7365.81</v>
      </c>
      <c r="AC229" s="1">
        <v>7658.03</v>
      </c>
      <c r="AD229" s="1">
        <v>7731.14</v>
      </c>
    </row>
    <row r="230" spans="1:30">
      <c r="A230" s="1" t="s">
        <v>83</v>
      </c>
      <c r="B230" s="1" t="s">
        <v>3</v>
      </c>
      <c r="C230" s="1" t="s">
        <v>3</v>
      </c>
      <c r="D230" s="1" t="s">
        <v>3</v>
      </c>
      <c r="E230" s="1">
        <v>110073.10063044399</v>
      </c>
      <c r="F230" s="1">
        <v>108170.82024483501</v>
      </c>
      <c r="G230" s="1">
        <v>129876.076830993</v>
      </c>
      <c r="H230" s="1">
        <v>137049.26333627</v>
      </c>
      <c r="I230" s="1">
        <v>123849.977273078</v>
      </c>
      <c r="J230" s="1">
        <v>111314.857606581</v>
      </c>
      <c r="K230" s="1">
        <v>113050.945699808</v>
      </c>
      <c r="L230" s="1">
        <v>110379.794331517</v>
      </c>
      <c r="M230" s="1">
        <v>104597.168095471</v>
      </c>
      <c r="N230" s="1">
        <v>98833.536625356195</v>
      </c>
      <c r="O230" s="1">
        <v>101545.23682721</v>
      </c>
      <c r="P230" s="1">
        <v>104874.21115893</v>
      </c>
      <c r="Q230" s="1">
        <v>108914.89762103</v>
      </c>
      <c r="R230" s="1">
        <v>111755.82655862</v>
      </c>
      <c r="S230" s="1">
        <v>113490.35926128</v>
      </c>
      <c r="T230" s="1">
        <v>112665.53226656999</v>
      </c>
      <c r="U230" s="1">
        <v>116374.29988517</v>
      </c>
      <c r="V230" s="1">
        <v>121240.97871788</v>
      </c>
      <c r="W230" s="1">
        <v>126824.36523638001</v>
      </c>
      <c r="X230" s="1">
        <v>132069.62079771</v>
      </c>
      <c r="Y230" s="1">
        <v>131580.96715754</v>
      </c>
      <c r="Z230" s="1">
        <v>135274.03929591001</v>
      </c>
      <c r="AA230" s="1">
        <v>140971.71536716999</v>
      </c>
      <c r="AB230" s="1">
        <v>146932.5</v>
      </c>
      <c r="AC230" s="1">
        <v>153780.49</v>
      </c>
      <c r="AD230" s="1">
        <v>158340.38</v>
      </c>
    </row>
    <row r="231" spans="1:30">
      <c r="A231" s="1" t="s">
        <v>83</v>
      </c>
      <c r="B231" s="1" t="s">
        <v>11</v>
      </c>
      <c r="C231" s="1" t="s">
        <v>11</v>
      </c>
      <c r="D231" s="1" t="s">
        <v>11</v>
      </c>
      <c r="E231" s="1">
        <v>56050.739652926102</v>
      </c>
      <c r="F231" s="1">
        <v>58036.077509045099</v>
      </c>
      <c r="G231" s="1">
        <v>59801.795315228599</v>
      </c>
      <c r="H231" s="1">
        <v>61934.457550627601</v>
      </c>
      <c r="I231" s="1">
        <v>64798.4600054041</v>
      </c>
      <c r="J231" s="1">
        <v>68398.8025160978</v>
      </c>
      <c r="K231" s="1">
        <v>72008.991461483194</v>
      </c>
      <c r="L231" s="1">
        <v>79361.598533127006</v>
      </c>
      <c r="M231" s="1">
        <v>84102.023158664699</v>
      </c>
      <c r="N231" s="1">
        <v>88583.361724681701</v>
      </c>
      <c r="O231" s="1">
        <v>93749.349737340002</v>
      </c>
      <c r="P231" s="1">
        <v>99991.631928589995</v>
      </c>
      <c r="Q231" s="1">
        <v>106951.46495376001</v>
      </c>
      <c r="R231" s="1">
        <v>114103.58075417001</v>
      </c>
      <c r="S231" s="1">
        <v>121787.57471888</v>
      </c>
      <c r="T231" s="1">
        <v>129126.56221023999</v>
      </c>
      <c r="U231" s="1">
        <v>137296.44521698001</v>
      </c>
      <c r="V231" s="1">
        <v>144933.31201297999</v>
      </c>
      <c r="W231" s="1">
        <v>154072.66260657</v>
      </c>
      <c r="X231" s="1">
        <v>162693.35730929</v>
      </c>
      <c r="Y231" s="1">
        <v>147498.94317484999</v>
      </c>
      <c r="Z231" s="1">
        <v>143871.67790921999</v>
      </c>
      <c r="AA231" s="1">
        <v>150830.77481736001</v>
      </c>
      <c r="AB231" s="1">
        <v>159464.29999999999</v>
      </c>
      <c r="AC231" s="1">
        <v>168198.68</v>
      </c>
      <c r="AD231" s="1">
        <v>177992.95</v>
      </c>
    </row>
    <row r="232" spans="1:30">
      <c r="A232" s="1" t="s">
        <v>83</v>
      </c>
      <c r="B232" s="1" t="s">
        <v>59</v>
      </c>
      <c r="C232" s="1" t="s">
        <v>28</v>
      </c>
      <c r="D232" s="1" t="s">
        <v>28</v>
      </c>
      <c r="E232" s="1">
        <v>18820.780657526</v>
      </c>
      <c r="F232" s="1">
        <v>21111.4089607075</v>
      </c>
      <c r="G232" s="1">
        <v>23782.013429909301</v>
      </c>
      <c r="H232" s="1">
        <v>26618.5587817468</v>
      </c>
      <c r="I232" s="1">
        <v>27492.344618700099</v>
      </c>
      <c r="J232" s="1">
        <v>28447.4070345857</v>
      </c>
      <c r="K232" s="1">
        <v>29579.774123639301</v>
      </c>
      <c r="L232" s="1">
        <v>30921.329050156299</v>
      </c>
      <c r="M232" s="1">
        <v>32343.768415510502</v>
      </c>
      <c r="N232" s="1">
        <v>33553.175377281703</v>
      </c>
      <c r="O232" s="1">
        <v>35561.904167870001</v>
      </c>
      <c r="P232" s="1">
        <v>38013.990299650002</v>
      </c>
      <c r="Q232" s="1">
        <v>40104.906127889997</v>
      </c>
      <c r="R232" s="1">
        <v>42190.857085720003</v>
      </c>
      <c r="S232" s="1">
        <v>44159.439524519999</v>
      </c>
      <c r="T232" s="1">
        <v>45962.303987439998</v>
      </c>
      <c r="U232" s="1">
        <v>47848.371793459999</v>
      </c>
      <c r="V232" s="1">
        <v>49985.153670209998</v>
      </c>
      <c r="W232" s="1">
        <v>52208.035498329999</v>
      </c>
      <c r="X232" s="1">
        <v>53941.901696879999</v>
      </c>
      <c r="Y232" s="1">
        <v>52705.936485780003</v>
      </c>
      <c r="Z232" s="1">
        <v>55369.646314650003</v>
      </c>
      <c r="AA232" s="1">
        <v>57804.209282980002</v>
      </c>
      <c r="AB232" s="1">
        <v>60336.31</v>
      </c>
      <c r="AC232" s="1">
        <v>60801.87</v>
      </c>
      <c r="AD232" s="1">
        <v>63291.16</v>
      </c>
    </row>
    <row r="233" spans="1:30">
      <c r="A233" s="1" t="s">
        <v>83</v>
      </c>
      <c r="B233" s="1" t="s">
        <v>10</v>
      </c>
      <c r="C233" s="1" t="s">
        <v>10</v>
      </c>
      <c r="D233" s="1" t="s">
        <v>10</v>
      </c>
      <c r="E233" s="1">
        <v>138907.80531950999</v>
      </c>
      <c r="F233" s="1">
        <v>145601.68365166301</v>
      </c>
      <c r="G233" s="1">
        <v>151591.66919367999</v>
      </c>
      <c r="H233" s="1">
        <v>159280.603472702</v>
      </c>
      <c r="I233" s="1">
        <v>168241.18484865499</v>
      </c>
      <c r="J233" s="1">
        <v>178132.460339657</v>
      </c>
      <c r="K233" s="1">
        <v>188048.781631897</v>
      </c>
      <c r="L233" s="1">
        <v>230991.50772808399</v>
      </c>
      <c r="M233" s="1">
        <v>244330.14249941701</v>
      </c>
      <c r="N233" s="1">
        <v>255835.465092119</v>
      </c>
      <c r="O233" s="1">
        <v>271465.28322854999</v>
      </c>
      <c r="P233" s="1">
        <v>290545.83891881001</v>
      </c>
      <c r="Q233" s="1">
        <v>310385.59246542997</v>
      </c>
      <c r="R233" s="1">
        <v>331099.10550309002</v>
      </c>
      <c r="S233" s="1">
        <v>349351.22765870998</v>
      </c>
      <c r="T233" s="1">
        <v>368377.20302298001</v>
      </c>
      <c r="U233" s="1">
        <v>387835.08944909001</v>
      </c>
      <c r="V233" s="1">
        <v>410136.99842050998</v>
      </c>
      <c r="W233" s="1">
        <v>433782.71415294998</v>
      </c>
      <c r="X233" s="1">
        <v>456620.03495124</v>
      </c>
      <c r="Y233" s="1">
        <v>441148.57728447998</v>
      </c>
      <c r="Z233" s="1">
        <v>460952.78569430998</v>
      </c>
      <c r="AA233" s="1">
        <v>484129.42101401999</v>
      </c>
      <c r="AB233" s="1">
        <v>507425.73</v>
      </c>
      <c r="AC233" s="1">
        <v>531735.25</v>
      </c>
      <c r="AD233" s="1">
        <v>560270.87</v>
      </c>
    </row>
    <row r="234" spans="1:30">
      <c r="A234" s="1" t="s">
        <v>83</v>
      </c>
      <c r="B234" s="1" t="s">
        <v>6</v>
      </c>
      <c r="C234" s="1" t="s">
        <v>6</v>
      </c>
      <c r="D234" s="1" t="s">
        <v>6</v>
      </c>
      <c r="E234" s="1">
        <v>16550.038587152299</v>
      </c>
      <c r="F234" s="1">
        <v>17236.785436837799</v>
      </c>
      <c r="G234" s="1">
        <v>18052.424105988401</v>
      </c>
      <c r="H234" s="1">
        <v>19021.376012120101</v>
      </c>
      <c r="I234" s="1">
        <v>20045.453724585801</v>
      </c>
      <c r="J234" s="1">
        <v>21211.918810977801</v>
      </c>
      <c r="K234" s="1">
        <v>22474.093224320499</v>
      </c>
      <c r="L234" s="1">
        <v>23925.008132975701</v>
      </c>
      <c r="M234" s="1">
        <v>25300.078443040999</v>
      </c>
      <c r="N234" s="1">
        <v>26721.308368393598</v>
      </c>
      <c r="O234" s="1">
        <v>28352.57199475</v>
      </c>
      <c r="P234" s="1">
        <v>30295.054198310001</v>
      </c>
      <c r="Q234" s="1">
        <v>32363.037833049999</v>
      </c>
      <c r="R234" s="1">
        <v>34326.371684400001</v>
      </c>
      <c r="S234" s="1">
        <v>36207.14590756</v>
      </c>
      <c r="T234" s="1">
        <v>38066.005715430001</v>
      </c>
      <c r="U234" s="1">
        <v>40076.543830460003</v>
      </c>
      <c r="V234" s="1">
        <v>42073.515590019997</v>
      </c>
      <c r="W234" s="1">
        <v>44164.109812399998</v>
      </c>
      <c r="X234" s="1">
        <v>46345.453562440001</v>
      </c>
      <c r="Y234" s="1">
        <v>46338.43149476</v>
      </c>
      <c r="Z234" s="1">
        <v>47853.777392759999</v>
      </c>
      <c r="AA234" s="1">
        <v>49916.060786770002</v>
      </c>
      <c r="AB234" s="1">
        <v>52051.6</v>
      </c>
      <c r="AC234" s="1">
        <v>54454.65</v>
      </c>
      <c r="AD234" s="1">
        <v>57066.81</v>
      </c>
    </row>
    <row r="235" spans="1:30">
      <c r="A235" s="1" t="s">
        <v>83</v>
      </c>
      <c r="B235" s="1" t="s">
        <v>62</v>
      </c>
      <c r="C235" s="1" t="s">
        <v>22</v>
      </c>
      <c r="D235" s="1" t="s">
        <v>22</v>
      </c>
      <c r="E235" s="1">
        <v>382285.341790559</v>
      </c>
      <c r="F235" s="1">
        <v>396000.447286312</v>
      </c>
      <c r="G235" s="1">
        <v>410072.32393386198</v>
      </c>
      <c r="H235" s="1">
        <v>430495.93091854698</v>
      </c>
      <c r="I235" s="1">
        <v>452570.94283037703</v>
      </c>
      <c r="J235" s="1">
        <v>476772.10116894601</v>
      </c>
      <c r="K235" s="1">
        <v>502206.75478712498</v>
      </c>
      <c r="L235" s="1">
        <v>530294.90602845</v>
      </c>
      <c r="M235" s="1">
        <v>560038.26530953997</v>
      </c>
      <c r="N235" s="1">
        <v>588830.90076133294</v>
      </c>
      <c r="O235" s="1">
        <v>623224.62132670998</v>
      </c>
      <c r="P235" s="1">
        <v>656268.12991410005</v>
      </c>
      <c r="Q235" s="1">
        <v>691343.11596097006</v>
      </c>
      <c r="R235" s="1">
        <v>726655.11806000001</v>
      </c>
      <c r="S235" s="1">
        <v>764959.15095000004</v>
      </c>
      <c r="T235" s="1">
        <v>806765.09216999996</v>
      </c>
      <c r="U235" s="1">
        <v>849099.35468999995</v>
      </c>
      <c r="V235" s="1">
        <v>893750.29616999999</v>
      </c>
      <c r="W235" s="1">
        <v>941091.14385999995</v>
      </c>
      <c r="X235" s="1">
        <v>991516.54330999998</v>
      </c>
      <c r="Y235" s="1">
        <v>965227.26921000006</v>
      </c>
      <c r="Z235" s="1">
        <v>997321.13133999996</v>
      </c>
      <c r="AA235" s="1">
        <v>1050278.09192</v>
      </c>
      <c r="AB235" s="1">
        <v>1102437.49</v>
      </c>
      <c r="AC235" s="1">
        <v>1156998.8799999999</v>
      </c>
      <c r="AD235" s="1">
        <v>1219148.5900000001</v>
      </c>
    </row>
    <row r="236" spans="1:30">
      <c r="A236" s="1" t="s">
        <v>83</v>
      </c>
      <c r="B236" s="1" t="s">
        <v>66</v>
      </c>
      <c r="C236" s="1" t="s">
        <v>26</v>
      </c>
      <c r="D236" s="1" t="s">
        <v>26</v>
      </c>
      <c r="E236" s="1">
        <v>33008.144367085901</v>
      </c>
      <c r="F236" s="1">
        <v>33983.136244555302</v>
      </c>
      <c r="G236" s="1">
        <v>35975.857320814102</v>
      </c>
      <c r="H236" s="1">
        <v>37742.4071677108</v>
      </c>
      <c r="I236" s="1">
        <v>39839.572064188702</v>
      </c>
      <c r="J236" s="1">
        <v>42188.962082528204</v>
      </c>
      <c r="K236" s="1">
        <v>44651.220317208201</v>
      </c>
      <c r="L236" s="1">
        <v>47359.016059504</v>
      </c>
      <c r="M236" s="1">
        <v>50280.758222263001</v>
      </c>
      <c r="N236" s="1">
        <v>53080.401156178101</v>
      </c>
      <c r="O236" s="1">
        <v>56531.023580939996</v>
      </c>
      <c r="P236" s="1">
        <v>60492.928434889996</v>
      </c>
      <c r="Q236" s="1">
        <v>64649.165297129999</v>
      </c>
      <c r="R236" s="1">
        <v>69410.986446640003</v>
      </c>
      <c r="S236" s="1">
        <v>73724.522724599999</v>
      </c>
      <c r="T236" s="1">
        <v>78890.96834865</v>
      </c>
      <c r="U236" s="1">
        <v>83900.239367860006</v>
      </c>
      <c r="V236" s="1">
        <v>89544.898297549997</v>
      </c>
      <c r="W236" s="1">
        <v>94566.24789051</v>
      </c>
      <c r="X236" s="1">
        <v>100349.28502414</v>
      </c>
      <c r="Y236" s="1">
        <v>98933.61363747</v>
      </c>
      <c r="Z236" s="1">
        <v>102481.47433041999</v>
      </c>
      <c r="AA236" s="1">
        <v>109094.72068535999</v>
      </c>
      <c r="AB236" s="1">
        <v>113611.53</v>
      </c>
      <c r="AC236" s="1">
        <v>118682.32</v>
      </c>
      <c r="AD236" s="1">
        <v>124378.82</v>
      </c>
    </row>
    <row r="237" spans="1:30">
      <c r="A237" s="1" t="s">
        <v>83</v>
      </c>
      <c r="B237" s="1" t="s">
        <v>80</v>
      </c>
      <c r="C237" s="1" t="s">
        <v>93</v>
      </c>
      <c r="D237" s="1" t="s">
        <v>14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>
        <v>95387.68</v>
      </c>
      <c r="AB237" s="1">
        <v>101066.1</v>
      </c>
      <c r="AC237" s="1">
        <v>105472.48</v>
      </c>
      <c r="AD237" s="1">
        <v>82475.320000000007</v>
      </c>
    </row>
    <row r="238" spans="1:30">
      <c r="A238" s="1" t="s">
        <v>83</v>
      </c>
      <c r="B238" s="1" t="s">
        <v>72</v>
      </c>
      <c r="C238" s="1" t="s">
        <v>36</v>
      </c>
      <c r="D238" s="1" t="s">
        <v>36</v>
      </c>
      <c r="E238" s="1">
        <v>25397.7477229865</v>
      </c>
      <c r="F238" s="1">
        <v>26691.836245911702</v>
      </c>
      <c r="G238" s="1">
        <v>28190.752182436401</v>
      </c>
      <c r="H238" s="1">
        <v>29941.995148960799</v>
      </c>
      <c r="I238" s="1">
        <v>32081.8094086985</v>
      </c>
      <c r="J238" s="1">
        <v>34509.562725378601</v>
      </c>
      <c r="K238" s="1">
        <v>37209.060595759896</v>
      </c>
      <c r="L238" s="1">
        <v>40995.8633289012</v>
      </c>
      <c r="M238" s="1">
        <v>44185.650560130904</v>
      </c>
      <c r="N238" s="1">
        <v>47592.394846924697</v>
      </c>
      <c r="O238" s="1">
        <v>51752.070612590003</v>
      </c>
      <c r="P238" s="1">
        <v>56833.828645330002</v>
      </c>
      <c r="Q238" s="1">
        <v>62249.529248639999</v>
      </c>
      <c r="R238" s="1">
        <v>68219.319057770001</v>
      </c>
      <c r="S238" s="1">
        <v>71677.530844260007</v>
      </c>
      <c r="T238" s="1">
        <v>82787.201817790003</v>
      </c>
      <c r="U238" s="1">
        <v>91014.564878339996</v>
      </c>
      <c r="V238" s="1">
        <v>97474.859096810003</v>
      </c>
      <c r="W238" s="1">
        <v>117555.83364</v>
      </c>
      <c r="X238" s="1">
        <v>127935.05653</v>
      </c>
      <c r="Y238" s="1">
        <v>134152.6948</v>
      </c>
      <c r="Z238" s="1">
        <v>149815.85604000001</v>
      </c>
      <c r="AA238" s="1">
        <v>172624.82475999999</v>
      </c>
      <c r="AB238" s="1">
        <v>193181.37</v>
      </c>
      <c r="AC238" s="1">
        <v>212281.54</v>
      </c>
      <c r="AD238" s="1">
        <v>230265.23</v>
      </c>
    </row>
    <row r="239" spans="1:30">
      <c r="A239" s="1" t="s">
        <v>83</v>
      </c>
      <c r="B239" s="1" t="s">
        <v>9</v>
      </c>
      <c r="C239" s="1" t="s">
        <v>9</v>
      </c>
      <c r="D239" s="1" t="s">
        <v>9</v>
      </c>
      <c r="E239" s="1">
        <v>41432.689263499597</v>
      </c>
      <c r="F239" s="1">
        <v>43198.330603263399</v>
      </c>
      <c r="G239" s="1">
        <v>45141.442733335301</v>
      </c>
      <c r="H239" s="1">
        <v>47210.2943528221</v>
      </c>
      <c r="I239" s="1">
        <v>49626.114173888403</v>
      </c>
      <c r="J239" s="1">
        <v>52064.199756495102</v>
      </c>
      <c r="K239" s="1">
        <v>53894.999126955001</v>
      </c>
      <c r="L239" s="1">
        <v>56219.053829885001</v>
      </c>
      <c r="M239" s="1">
        <v>59049.6576967293</v>
      </c>
      <c r="N239" s="1">
        <v>61667.594376374203</v>
      </c>
      <c r="O239" s="1">
        <v>64678.968195330002</v>
      </c>
      <c r="P239" s="1">
        <v>68049.874443099994</v>
      </c>
      <c r="Q239" s="1">
        <v>71702.449184280005</v>
      </c>
      <c r="R239" s="1">
        <v>75627.44958611</v>
      </c>
      <c r="S239" s="1">
        <v>79536.081753270002</v>
      </c>
      <c r="T239" s="1">
        <v>83474.451546349999</v>
      </c>
      <c r="U239" s="1">
        <v>87685.809614900005</v>
      </c>
      <c r="V239" s="1">
        <v>92300.243886340002</v>
      </c>
      <c r="W239" s="1">
        <v>98024.014331059996</v>
      </c>
      <c r="X239" s="1">
        <v>104485.45876363</v>
      </c>
      <c r="Y239" s="1">
        <v>101698.52017030001</v>
      </c>
      <c r="Z239" s="1">
        <v>107372.56032521999</v>
      </c>
      <c r="AA239" s="1">
        <v>112901.32317418</v>
      </c>
      <c r="AB239" s="1">
        <v>118625.55</v>
      </c>
      <c r="AC239" s="1">
        <v>124590.45</v>
      </c>
      <c r="AD239" s="1">
        <v>131435.94</v>
      </c>
    </row>
    <row r="240" spans="1:30">
      <c r="A240" s="1" t="s">
        <v>83</v>
      </c>
      <c r="B240" s="1" t="s">
        <v>8</v>
      </c>
      <c r="C240" s="1" t="s">
        <v>8</v>
      </c>
      <c r="D240" s="1" t="s">
        <v>8</v>
      </c>
      <c r="E240" s="1">
        <v>619429.61232461198</v>
      </c>
      <c r="F240" s="1">
        <v>648596.01514515898</v>
      </c>
      <c r="G240" s="1">
        <v>680325.22636584996</v>
      </c>
      <c r="H240" s="1">
        <v>716451.85725620005</v>
      </c>
      <c r="I240" s="1">
        <v>756947.17883621599</v>
      </c>
      <c r="J240" s="1">
        <v>802457.04206027603</v>
      </c>
      <c r="K240" s="1">
        <v>850169.452444989</v>
      </c>
      <c r="L240" s="1">
        <v>904916.30133896403</v>
      </c>
      <c r="M240" s="1">
        <v>961314.40060974902</v>
      </c>
      <c r="N240" s="1">
        <v>1009543.01712038</v>
      </c>
      <c r="O240" s="1">
        <v>1075183.48081373</v>
      </c>
      <c r="P240" s="1">
        <v>1147558.22641189</v>
      </c>
      <c r="Q240" s="1">
        <v>1222527.92489167</v>
      </c>
      <c r="R240" s="1">
        <v>1296694.5734725399</v>
      </c>
      <c r="S240" s="1">
        <v>1373389.12911488</v>
      </c>
      <c r="T240" s="1">
        <v>1454563.8473786199</v>
      </c>
      <c r="U240" s="1">
        <v>1539916.8810268501</v>
      </c>
      <c r="V240" s="1">
        <v>1635359.1473374299</v>
      </c>
      <c r="W240" s="1">
        <v>1735208.2910565599</v>
      </c>
      <c r="X240" s="1">
        <v>1836240.5495070701</v>
      </c>
      <c r="Y240" s="1">
        <v>1792291.08718913</v>
      </c>
      <c r="Z240" s="1">
        <v>1856000.69484497</v>
      </c>
      <c r="AA240" s="1">
        <v>1953488.9909546301</v>
      </c>
      <c r="AB240" s="1">
        <v>2050474.47</v>
      </c>
      <c r="AC240" s="1">
        <v>2151198.75</v>
      </c>
      <c r="AD240" s="1">
        <v>2263237.0299999998</v>
      </c>
    </row>
    <row r="241" spans="1:30">
      <c r="A241" s="1" t="s">
        <v>83</v>
      </c>
      <c r="B241" s="1" t="s">
        <v>63</v>
      </c>
      <c r="C241" s="1" t="s">
        <v>23</v>
      </c>
      <c r="D241" s="1" t="s">
        <v>23</v>
      </c>
      <c r="E241" s="1">
        <v>587042.53250588104</v>
      </c>
      <c r="F241" s="1">
        <v>609092.45733972499</v>
      </c>
      <c r="G241" s="1">
        <v>632257.57451211696</v>
      </c>
      <c r="H241" s="1">
        <v>662450.67656759801</v>
      </c>
      <c r="I241" s="1">
        <v>701072.90911398095</v>
      </c>
      <c r="J241" s="1">
        <v>742014.60401574895</v>
      </c>
      <c r="K241" s="1">
        <v>785064.588278946</v>
      </c>
      <c r="L241" s="1">
        <v>834716.48814805597</v>
      </c>
      <c r="M241" s="1">
        <v>884307.78804315894</v>
      </c>
      <c r="N241" s="1">
        <v>928655.00502188003</v>
      </c>
      <c r="O241" s="1">
        <v>990648.84384112002</v>
      </c>
      <c r="P241" s="1">
        <v>1054401.77368671</v>
      </c>
      <c r="Q241" s="1">
        <v>1124464.63972333</v>
      </c>
      <c r="R241" s="1">
        <v>1192789.80180631</v>
      </c>
      <c r="S241" s="1">
        <v>1262684.49506941</v>
      </c>
      <c r="T241" s="1">
        <v>1331376.0989000001</v>
      </c>
      <c r="U241" s="1">
        <v>1405563.5110243701</v>
      </c>
      <c r="V241" s="1">
        <v>1482299.57682786</v>
      </c>
      <c r="W241" s="1">
        <v>1563441.82456247</v>
      </c>
      <c r="X241" s="1">
        <v>1649895.6414566501</v>
      </c>
      <c r="Y241" s="1">
        <v>1611392.54676985</v>
      </c>
      <c r="Z241" s="1">
        <v>1668754.3594106799</v>
      </c>
      <c r="AA241" s="1">
        <v>1757874.8953795501</v>
      </c>
      <c r="AB241" s="1">
        <v>1844808.68</v>
      </c>
      <c r="AC241" s="1">
        <v>1935810.16</v>
      </c>
      <c r="AD241" s="1">
        <v>2038961.63</v>
      </c>
    </row>
    <row r="242" spans="1:30">
      <c r="A242" s="1" t="s">
        <v>83</v>
      </c>
      <c r="B242" s="1" t="s">
        <v>69</v>
      </c>
      <c r="C242" s="1" t="s">
        <v>27</v>
      </c>
      <c r="D242" s="1" t="s">
        <v>27</v>
      </c>
      <c r="E242" s="1">
        <v>284816.53858671599</v>
      </c>
      <c r="F242" s="1">
        <v>298292.88091997401</v>
      </c>
      <c r="G242" s="1">
        <v>303482.60689570103</v>
      </c>
      <c r="H242" s="1">
        <v>309124.36072194402</v>
      </c>
      <c r="I242" s="1">
        <v>314537.23833027697</v>
      </c>
      <c r="J242" s="1">
        <v>324512.47193523101</v>
      </c>
      <c r="K242" s="1">
        <v>333752.80260878499</v>
      </c>
      <c r="L242" s="1">
        <v>339879.57057092199</v>
      </c>
      <c r="M242" s="1">
        <v>356532.13946364901</v>
      </c>
      <c r="N242" s="1">
        <v>364678.17094727303</v>
      </c>
      <c r="O242" s="1">
        <v>383293.00220871001</v>
      </c>
      <c r="P242" s="1">
        <v>407435.38338603999</v>
      </c>
      <c r="Q242" s="1">
        <v>428877.71064392</v>
      </c>
      <c r="R242" s="1">
        <v>438532.90673903999</v>
      </c>
      <c r="S242" s="1">
        <v>446029.04883898998</v>
      </c>
      <c r="T242" s="1">
        <v>440676.35622272</v>
      </c>
      <c r="U242" s="1">
        <v>439003.83238844998</v>
      </c>
      <c r="V242" s="1">
        <v>452741.90818068001</v>
      </c>
      <c r="W242" s="1">
        <v>464694.42672580999</v>
      </c>
      <c r="X242" s="1">
        <v>486523.18221395998</v>
      </c>
      <c r="Y242" s="1">
        <v>472393.32937191002</v>
      </c>
      <c r="Z242" s="1">
        <v>484439.60613663</v>
      </c>
      <c r="AA242" s="1">
        <v>506158.90730507998</v>
      </c>
      <c r="AB242" s="1">
        <v>537630.01</v>
      </c>
      <c r="AC242" s="1">
        <v>570824</v>
      </c>
      <c r="AD242" s="1">
        <v>596660.64</v>
      </c>
    </row>
    <row r="243" spans="1:30">
      <c r="A243" s="1" t="s">
        <v>83</v>
      </c>
      <c r="B243" s="1" t="s">
        <v>67</v>
      </c>
      <c r="C243" s="1" t="s">
        <v>32</v>
      </c>
      <c r="D243" s="1" t="s">
        <v>32</v>
      </c>
      <c r="E243" s="1">
        <v>27435.0938534536</v>
      </c>
      <c r="F243" s="1">
        <v>28731.426556413899</v>
      </c>
      <c r="G243" s="1">
        <v>30132.490084298901</v>
      </c>
      <c r="H243" s="1">
        <v>31640.2134776292</v>
      </c>
      <c r="I243" s="1">
        <v>33328.718021621302</v>
      </c>
      <c r="J243" s="1">
        <v>34482.682641675499</v>
      </c>
      <c r="K243" s="1">
        <v>36234.160573673398</v>
      </c>
      <c r="L243" s="1">
        <v>38099.963651259997</v>
      </c>
      <c r="M243" s="1">
        <v>39942.924722408097</v>
      </c>
      <c r="N243" s="1">
        <v>41658.1957279704</v>
      </c>
      <c r="O243" s="1">
        <v>43846.608663320003</v>
      </c>
      <c r="P243" s="1">
        <v>46334.127523620002</v>
      </c>
      <c r="Q243" s="1">
        <v>48863.187536110003</v>
      </c>
      <c r="R243" s="1">
        <v>51505.188638090003</v>
      </c>
      <c r="S243" s="1">
        <v>54107.97423118</v>
      </c>
      <c r="T243" s="1">
        <v>56770.79325689</v>
      </c>
      <c r="U243" s="1">
        <v>59678.012411759999</v>
      </c>
      <c r="V243" s="1">
        <v>62725.41047011</v>
      </c>
      <c r="W243" s="1">
        <v>65929.193544599999</v>
      </c>
      <c r="X243" s="1">
        <v>69389.016377609994</v>
      </c>
      <c r="Y243" s="1">
        <v>68809.6142769</v>
      </c>
      <c r="Z243" s="1">
        <v>70540.55664291</v>
      </c>
      <c r="AA243" s="1">
        <v>72711.277016849999</v>
      </c>
      <c r="AB243" s="1">
        <v>75246.66</v>
      </c>
      <c r="AC243" s="1">
        <v>78161.59</v>
      </c>
      <c r="AD243" s="1">
        <v>82176.5</v>
      </c>
    </row>
    <row r="244" spans="1:30">
      <c r="A244" s="1" t="s">
        <v>83</v>
      </c>
      <c r="B244" s="1" t="s">
        <v>12</v>
      </c>
      <c r="C244" s="1" t="s">
        <v>12</v>
      </c>
      <c r="D244" s="1" t="s">
        <v>12</v>
      </c>
      <c r="E244" s="1">
        <v>7814.9387783147104</v>
      </c>
      <c r="F244" s="1">
        <v>8248.2965015077807</v>
      </c>
      <c r="G244" s="1">
        <v>8780.6324512977098</v>
      </c>
      <c r="H244" s="1">
        <v>9384.5995005546501</v>
      </c>
      <c r="I244" s="1">
        <v>10034.795988505201</v>
      </c>
      <c r="J244" s="1">
        <v>10755.989108612101</v>
      </c>
      <c r="K244" s="1">
        <v>11541.540108110999</v>
      </c>
      <c r="L244" s="1">
        <v>12408.3023611149</v>
      </c>
      <c r="M244" s="1">
        <v>13370.8267688305</v>
      </c>
      <c r="N244" s="1">
        <v>14379.0155356632</v>
      </c>
      <c r="O244" s="1">
        <v>15475.736813330001</v>
      </c>
      <c r="P244" s="1">
        <v>16669.089604559998</v>
      </c>
      <c r="Q244" s="1">
        <v>17987.074868299998</v>
      </c>
      <c r="R244" s="1">
        <v>19367.572585680002</v>
      </c>
      <c r="S244" s="1">
        <v>20775.803252180001</v>
      </c>
      <c r="T244" s="1">
        <v>22068.802614799999</v>
      </c>
      <c r="U244" s="1">
        <v>23507.209013219999</v>
      </c>
      <c r="V244" s="1">
        <v>25090.130636260001</v>
      </c>
      <c r="W244" s="1">
        <v>26719.272121860002</v>
      </c>
      <c r="X244" s="1">
        <v>28429.970015999999</v>
      </c>
      <c r="Y244" s="1">
        <v>28425.375458099999</v>
      </c>
      <c r="Z244" s="1">
        <v>29107.910850299999</v>
      </c>
      <c r="AA244" s="1">
        <v>30282.214825890002</v>
      </c>
      <c r="AB244" s="1">
        <v>31643.78</v>
      </c>
      <c r="AC244" s="1">
        <v>32951.94</v>
      </c>
      <c r="AD244" s="1">
        <v>34834.480000000003</v>
      </c>
    </row>
    <row r="245" spans="1:30">
      <c r="A245" s="1" t="s">
        <v>83</v>
      </c>
      <c r="B245" s="1" t="s">
        <v>5</v>
      </c>
      <c r="C245" s="1" t="s">
        <v>5</v>
      </c>
      <c r="D245" s="1" t="s">
        <v>5</v>
      </c>
      <c r="E245" s="1">
        <v>49631.702011847599</v>
      </c>
      <c r="F245" s="1">
        <v>52932.186373643402</v>
      </c>
      <c r="G245" s="1">
        <v>56032.890111581903</v>
      </c>
      <c r="H245" s="1">
        <v>58832.901285845597</v>
      </c>
      <c r="I245" s="1">
        <v>61999.861800004102</v>
      </c>
      <c r="J245" s="1">
        <v>65454.5781824273</v>
      </c>
      <c r="K245" s="1">
        <v>69311.571976084102</v>
      </c>
      <c r="L245" s="1">
        <v>74039.359941497198</v>
      </c>
      <c r="M245" s="1">
        <v>79343.211340652895</v>
      </c>
      <c r="N245" s="1">
        <v>84411.217772810007</v>
      </c>
      <c r="O245" s="1">
        <v>90618.411272040001</v>
      </c>
      <c r="P245" s="1">
        <v>97740.873964030005</v>
      </c>
      <c r="Q245" s="1">
        <v>104615.08211916</v>
      </c>
      <c r="R245" s="1">
        <v>111766.13095185001</v>
      </c>
      <c r="S245" s="1">
        <v>119991.44468537001</v>
      </c>
      <c r="T245" s="1">
        <v>125037.39804453</v>
      </c>
      <c r="U245" s="1">
        <v>130501.13209306</v>
      </c>
      <c r="V245" s="1">
        <v>136501.70606538001</v>
      </c>
      <c r="W245" s="1">
        <v>142901.99580599999</v>
      </c>
      <c r="X245" s="1">
        <v>149111.08835800999</v>
      </c>
      <c r="Y245" s="1">
        <v>148354.25489861</v>
      </c>
      <c r="Z245" s="1">
        <v>153850.62853735001</v>
      </c>
      <c r="AA245" s="1">
        <v>161731.94796074001</v>
      </c>
      <c r="AB245" s="1">
        <v>169259.05</v>
      </c>
      <c r="AC245" s="1">
        <v>176868.44</v>
      </c>
      <c r="AD245" s="1">
        <v>185582.21</v>
      </c>
    </row>
    <row r="246" spans="1:30">
      <c r="A246" s="1" t="s">
        <v>83</v>
      </c>
      <c r="B246" s="1" t="s">
        <v>7</v>
      </c>
      <c r="C246" s="1" t="s">
        <v>7</v>
      </c>
      <c r="D246" s="1" t="s">
        <v>7</v>
      </c>
      <c r="E246" s="1">
        <v>91243.844318663105</v>
      </c>
      <c r="F246" s="1">
        <v>94437.498252054094</v>
      </c>
      <c r="G246" s="1">
        <v>99746.429620331503</v>
      </c>
      <c r="H246" s="1">
        <v>105491.11784365</v>
      </c>
      <c r="I246" s="1">
        <v>110841.499634755</v>
      </c>
      <c r="J246" s="1">
        <v>115292.68390040701</v>
      </c>
      <c r="K246" s="1">
        <v>121034.764029706</v>
      </c>
      <c r="L246" s="1">
        <v>128225.659858606</v>
      </c>
      <c r="M246" s="1">
        <v>135082.14631245399</v>
      </c>
      <c r="N246" s="1">
        <v>142193.089166744</v>
      </c>
      <c r="O246" s="1">
        <v>150560.84170681</v>
      </c>
      <c r="P246" s="1">
        <v>160437.50137606999</v>
      </c>
      <c r="Q246" s="1">
        <v>170769.20660958</v>
      </c>
      <c r="R246" s="1">
        <v>180620.00769219999</v>
      </c>
      <c r="S246" s="1">
        <v>189797.49092302</v>
      </c>
      <c r="T246" s="1">
        <v>199536.91660709001</v>
      </c>
      <c r="U246" s="1">
        <v>209793.72829142999</v>
      </c>
      <c r="V246" s="1">
        <v>220626.09675621</v>
      </c>
      <c r="W246" s="1">
        <v>232165.98699177001</v>
      </c>
      <c r="X246" s="1">
        <v>244378.31315530001</v>
      </c>
      <c r="Y246" s="1">
        <v>240319.59219962</v>
      </c>
      <c r="Z246" s="1">
        <v>246966.49114744001</v>
      </c>
      <c r="AA246" s="1">
        <v>257534.18964950001</v>
      </c>
      <c r="AB246" s="1">
        <v>269240.53999999998</v>
      </c>
      <c r="AC246" s="1">
        <v>281557.23</v>
      </c>
      <c r="AD246" s="1">
        <v>296420.65000000002</v>
      </c>
    </row>
    <row r="247" spans="1:30">
      <c r="A247" s="1" t="s">
        <v>83</v>
      </c>
      <c r="B247" s="1" t="s">
        <v>13</v>
      </c>
      <c r="C247" s="1" t="s">
        <v>13</v>
      </c>
      <c r="D247" s="1" t="s">
        <v>13</v>
      </c>
      <c r="E247" s="1">
        <v>12004.061395515801</v>
      </c>
      <c r="F247" s="1">
        <v>11999.861018703101</v>
      </c>
      <c r="G247" s="1">
        <v>12344.2485698001</v>
      </c>
      <c r="H247" s="1">
        <v>12876.2356128463</v>
      </c>
      <c r="I247" s="1">
        <v>13446.3901665587</v>
      </c>
      <c r="J247" s="1">
        <v>14128.0231110073</v>
      </c>
      <c r="K247" s="1">
        <v>14912.049018141901</v>
      </c>
      <c r="L247" s="1">
        <v>15750.2215276194</v>
      </c>
      <c r="M247" s="1">
        <v>16416.889331413899</v>
      </c>
      <c r="N247" s="1">
        <v>17309.277105740799</v>
      </c>
      <c r="O247" s="1">
        <v>18428.58454584</v>
      </c>
      <c r="P247" s="1">
        <v>19597.390138610001</v>
      </c>
      <c r="Q247" s="1">
        <v>21000.078813510001</v>
      </c>
      <c r="R247" s="1">
        <v>22100.937105190002</v>
      </c>
      <c r="S247" s="1">
        <v>23567.734258889999</v>
      </c>
      <c r="T247" s="1">
        <v>24859.196568560001</v>
      </c>
      <c r="U247" s="1">
        <v>26284.228020800001</v>
      </c>
      <c r="V247" s="1">
        <v>27814.053222949999</v>
      </c>
      <c r="W247" s="1">
        <v>29457.133274510001</v>
      </c>
      <c r="X247" s="1">
        <v>31049.449150929999</v>
      </c>
      <c r="Y247" s="1">
        <v>30765.888775889998</v>
      </c>
      <c r="Z247" s="1">
        <v>31881.23002391</v>
      </c>
      <c r="AA247" s="1">
        <v>33575.071623290001</v>
      </c>
      <c r="AB247" s="1">
        <v>35322.910000000003</v>
      </c>
      <c r="AC247" s="1">
        <v>37210.06</v>
      </c>
      <c r="AD247" s="1">
        <v>38906.06</v>
      </c>
    </row>
    <row r="248" spans="1:30">
      <c r="A248" s="1" t="s">
        <v>83</v>
      </c>
      <c r="B248" s="1" t="s">
        <v>70</v>
      </c>
      <c r="C248" s="1" t="s">
        <v>46</v>
      </c>
      <c r="D248" s="1" t="s">
        <v>46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34918.578156199997</v>
      </c>
      <c r="P248" s="1">
        <v>37829.038986250001</v>
      </c>
      <c r="Q248" s="1">
        <v>40768.541326350001</v>
      </c>
      <c r="R248" s="1">
        <v>44091.699279779998</v>
      </c>
      <c r="S248" s="1">
        <v>47696.354646719999</v>
      </c>
      <c r="T248" s="1">
        <v>49315.745048080003</v>
      </c>
      <c r="U248" s="1">
        <v>51064.737347360002</v>
      </c>
      <c r="V248" s="1">
        <v>54537.307240050002</v>
      </c>
      <c r="W248" s="1">
        <v>57459.308920659998</v>
      </c>
      <c r="X248" s="1">
        <v>61417.792061849999</v>
      </c>
      <c r="Y248" s="1">
        <v>60746.20884988</v>
      </c>
      <c r="Z248" s="1">
        <v>63168.433508210001</v>
      </c>
      <c r="AA248" s="1">
        <v>66528.387984400004</v>
      </c>
      <c r="AB248" s="1">
        <v>69831.48</v>
      </c>
      <c r="AC248" s="1">
        <v>73134.41</v>
      </c>
      <c r="AD248" s="1">
        <v>76468.89</v>
      </c>
    </row>
    <row r="249" spans="1:30">
      <c r="A249" s="1" t="s">
        <v>83</v>
      </c>
      <c r="B249" s="1" t="s">
        <v>76</v>
      </c>
      <c r="C249" s="1" t="s">
        <v>30</v>
      </c>
      <c r="D249" s="1" t="s">
        <v>30</v>
      </c>
      <c r="E249" s="1">
        <v>9277.8137918205302</v>
      </c>
      <c r="F249" s="1">
        <v>9432.8777301477203</v>
      </c>
      <c r="G249" s="1">
        <v>9663.2549128166502</v>
      </c>
      <c r="H249" s="1">
        <v>10032.742933425299</v>
      </c>
      <c r="I249" s="1">
        <v>10504.308337786601</v>
      </c>
      <c r="J249" s="1">
        <v>11040.8024164864</v>
      </c>
      <c r="K249" s="1">
        <v>11646.370507633599</v>
      </c>
      <c r="L249" s="1">
        <v>15944.263830940899</v>
      </c>
      <c r="M249" s="1">
        <v>14983.9118774053</v>
      </c>
      <c r="N249" s="1">
        <v>13880.1803615476</v>
      </c>
      <c r="O249" s="1">
        <v>14983.91187627</v>
      </c>
      <c r="P249" s="1">
        <v>16002.45201943</v>
      </c>
      <c r="Q249" s="1">
        <v>17120.069793719998</v>
      </c>
      <c r="R249" s="1">
        <v>18208.74324059</v>
      </c>
      <c r="S249" s="1">
        <v>19208.7608979</v>
      </c>
      <c r="T249" s="1">
        <v>20380.3039188</v>
      </c>
      <c r="U249" s="1">
        <v>21556.67978604</v>
      </c>
      <c r="V249" s="1">
        <v>23210.864648980001</v>
      </c>
      <c r="W249" s="1">
        <v>25034.082196219999</v>
      </c>
      <c r="X249" s="1">
        <v>26597.55286896</v>
      </c>
      <c r="Y249" s="1">
        <v>28031.44388273</v>
      </c>
      <c r="Z249" s="1">
        <v>32738.670027</v>
      </c>
      <c r="AA249" s="1">
        <v>40248.382652</v>
      </c>
      <c r="AB249" s="1">
        <v>48929.43</v>
      </c>
      <c r="AC249" s="1">
        <v>55740.95</v>
      </c>
      <c r="AD249" s="1">
        <v>74790.27</v>
      </c>
    </row>
    <row r="250" spans="1:30">
      <c r="A250" s="1" t="s">
        <v>83</v>
      </c>
      <c r="B250" s="1" t="s">
        <v>71</v>
      </c>
      <c r="C250" s="1" t="s">
        <v>38</v>
      </c>
      <c r="D250" s="1" t="s">
        <v>38</v>
      </c>
      <c r="E250" s="1">
        <v>29734.554179829898</v>
      </c>
      <c r="F250" s="1">
        <v>30759.460653790102</v>
      </c>
      <c r="G250" s="1">
        <v>31779.675209051598</v>
      </c>
      <c r="H250" s="1">
        <v>32796.635457429198</v>
      </c>
      <c r="I250" s="1">
        <v>34194.613356796901</v>
      </c>
      <c r="J250" s="1">
        <v>35869.369652759298</v>
      </c>
      <c r="K250" s="1">
        <v>37919.583355483701</v>
      </c>
      <c r="L250" s="1">
        <v>40371.851704861801</v>
      </c>
      <c r="M250" s="1">
        <v>44756.178468609702</v>
      </c>
      <c r="N250" s="1">
        <v>48267.395187693903</v>
      </c>
      <c r="O250" s="1">
        <v>51721.334141109997</v>
      </c>
      <c r="P250" s="1">
        <v>54910.897493069999</v>
      </c>
      <c r="Q250" s="1">
        <v>58677.586673860002</v>
      </c>
      <c r="R250" s="1">
        <v>62422.498490179998</v>
      </c>
      <c r="S250" s="1">
        <v>66360.757018770004</v>
      </c>
      <c r="T250" s="1">
        <v>70425.33021955</v>
      </c>
      <c r="U250" s="1">
        <v>74764.660480909995</v>
      </c>
      <c r="V250" s="1">
        <v>79484.025023979993</v>
      </c>
      <c r="W250" s="1">
        <v>84249.720168309999</v>
      </c>
      <c r="X250" s="1">
        <v>89009.264777129996</v>
      </c>
      <c r="Y250" s="1">
        <v>88126.37398602</v>
      </c>
      <c r="Z250" s="1">
        <v>91790.692024510005</v>
      </c>
      <c r="AA250" s="1">
        <v>96768.151890130001</v>
      </c>
      <c r="AB250" s="1">
        <v>102070.48</v>
      </c>
      <c r="AC250" s="1">
        <v>107575.01</v>
      </c>
      <c r="AD250" s="1">
        <v>113659.42</v>
      </c>
    </row>
    <row r="251" spans="1:30">
      <c r="A251" s="1" t="s">
        <v>83</v>
      </c>
      <c r="B251" s="1" t="s">
        <v>56</v>
      </c>
      <c r="C251" s="1" t="s">
        <v>41</v>
      </c>
      <c r="D251" s="1" t="s">
        <v>41</v>
      </c>
      <c r="E251" s="1">
        <v>192858.13013152999</v>
      </c>
      <c r="F251" s="1">
        <v>200539.21967166301</v>
      </c>
      <c r="G251" s="1">
        <v>209688.718719372</v>
      </c>
      <c r="H251" s="1">
        <v>219774.383203112</v>
      </c>
      <c r="I251" s="1">
        <v>232389.14858693001</v>
      </c>
      <c r="J251" s="1">
        <v>245130.81240132501</v>
      </c>
      <c r="K251" s="1">
        <v>260328.77143502299</v>
      </c>
      <c r="L251" s="1">
        <v>278302.340494617</v>
      </c>
      <c r="M251" s="1">
        <v>296095.23205991701</v>
      </c>
      <c r="N251" s="1">
        <v>311118.20936878101</v>
      </c>
      <c r="O251" s="1">
        <v>331085.23747122998</v>
      </c>
      <c r="P251" s="1">
        <v>353147.59120129002</v>
      </c>
      <c r="Q251" s="1">
        <v>375924.13945150998</v>
      </c>
      <c r="R251" s="1">
        <v>398727.14280053001</v>
      </c>
      <c r="S251" s="1">
        <v>419573.30867452</v>
      </c>
      <c r="T251" s="1">
        <v>440955.85246604</v>
      </c>
      <c r="U251" s="1">
        <v>463775.46485554997</v>
      </c>
      <c r="V251" s="1">
        <v>487531.23186826002</v>
      </c>
      <c r="W251" s="1">
        <v>512762.62690277002</v>
      </c>
      <c r="X251" s="1">
        <v>539513.84562509996</v>
      </c>
      <c r="Y251" s="1">
        <v>533746.35825687996</v>
      </c>
      <c r="Z251" s="1">
        <v>547651.82466996997</v>
      </c>
      <c r="AA251" s="1">
        <v>573528.76618999999</v>
      </c>
      <c r="AB251" s="1">
        <v>602235.93999999994</v>
      </c>
      <c r="AC251" s="1">
        <v>632534.73</v>
      </c>
      <c r="AD251" s="1">
        <v>661204.18000000005</v>
      </c>
    </row>
    <row r="252" spans="1:30">
      <c r="A252" s="1" t="s">
        <v>83</v>
      </c>
      <c r="B252" s="1" t="s">
        <v>14</v>
      </c>
      <c r="C252" s="1" t="s">
        <v>14</v>
      </c>
      <c r="D252" s="1" t="s">
        <v>14</v>
      </c>
      <c r="E252" s="1">
        <v>110227.629514336</v>
      </c>
      <c r="F252" s="1">
        <v>119310.27922717</v>
      </c>
      <c r="G252" s="1">
        <v>104272.72156753299</v>
      </c>
      <c r="H252" s="1">
        <v>103978.318814217</v>
      </c>
      <c r="I252" s="1">
        <v>80548.160692155405</v>
      </c>
      <c r="J252" s="1">
        <v>109863.857060864</v>
      </c>
      <c r="K252" s="1">
        <v>91030.535231671194</v>
      </c>
      <c r="L252" s="1">
        <v>94979.532156824003</v>
      </c>
      <c r="M252" s="1">
        <v>93651.5418356109</v>
      </c>
      <c r="N252" s="1">
        <v>114460.655710266</v>
      </c>
      <c r="O252" s="1">
        <v>110808.17661209</v>
      </c>
      <c r="P252" s="1">
        <v>106066.72339046</v>
      </c>
      <c r="Q252" s="1">
        <v>107890.94259440999</v>
      </c>
      <c r="R252" s="1">
        <v>117118.81889753</v>
      </c>
      <c r="S252" s="1">
        <v>121391.23394744001</v>
      </c>
      <c r="T252" s="1">
        <v>130311.60486250999</v>
      </c>
      <c r="U252" s="1">
        <v>142224.9306734</v>
      </c>
      <c r="V252" s="1">
        <v>148818.2898576</v>
      </c>
      <c r="W252" s="1">
        <v>159711.85258502999</v>
      </c>
      <c r="X252" s="1">
        <v>134565.88856794001</v>
      </c>
      <c r="Y252" s="1">
        <v>137787.28678868999</v>
      </c>
      <c r="Z252" s="1">
        <v>158675.15137044</v>
      </c>
      <c r="AA252" s="1">
        <v>172907.28787567999</v>
      </c>
      <c r="AB252" s="1">
        <v>49549.83</v>
      </c>
      <c r="AC252" s="1">
        <v>51587.16</v>
      </c>
      <c r="AD252" s="1">
        <v>53634.65</v>
      </c>
    </row>
    <row r="253" spans="1:30">
      <c r="A253" s="1" t="s">
        <v>83</v>
      </c>
      <c r="B253" s="1" t="s">
        <v>81</v>
      </c>
      <c r="C253" s="1" t="s">
        <v>94</v>
      </c>
      <c r="D253" s="1" t="s">
        <v>14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>
        <v>12571.88</v>
      </c>
      <c r="AB253" s="1">
        <v>13172.5</v>
      </c>
      <c r="AC253" s="1">
        <v>13798.75</v>
      </c>
      <c r="AD253" s="1">
        <v>14315.56</v>
      </c>
    </row>
    <row r="254" spans="1:30">
      <c r="A254" s="1" t="s">
        <v>83</v>
      </c>
      <c r="B254" s="1" t="s">
        <v>4</v>
      </c>
      <c r="C254" s="1" t="s">
        <v>4</v>
      </c>
      <c r="D254" s="1" t="s">
        <v>4</v>
      </c>
      <c r="E254" s="1">
        <v>376739.46964962</v>
      </c>
      <c r="F254" s="1">
        <v>375243.33387972001</v>
      </c>
      <c r="G254" s="1">
        <v>385146.72276498901</v>
      </c>
      <c r="H254" s="1">
        <v>290544.124766914</v>
      </c>
      <c r="I254" s="1">
        <v>299047.42857573502</v>
      </c>
      <c r="J254" s="1">
        <v>315232.42654732103</v>
      </c>
      <c r="K254" s="1">
        <v>331466.77633519599</v>
      </c>
      <c r="L254" s="1">
        <v>342767.58940616302</v>
      </c>
      <c r="M254" s="1">
        <v>362138.225009799</v>
      </c>
      <c r="N254" s="1">
        <v>372876.31199134898</v>
      </c>
      <c r="O254" s="1">
        <v>388578.22696073999</v>
      </c>
      <c r="P254" s="1">
        <v>410215.84020599001</v>
      </c>
      <c r="Q254" s="1">
        <v>425625.99850734998</v>
      </c>
      <c r="R254" s="1">
        <v>436187.50741601002</v>
      </c>
      <c r="S254" s="1">
        <v>447986.78247024998</v>
      </c>
      <c r="T254" s="1">
        <v>448991.96351888002</v>
      </c>
      <c r="U254" s="1">
        <v>458769.34006752999</v>
      </c>
      <c r="V254" s="1">
        <v>470983.51159980003</v>
      </c>
      <c r="W254" s="1">
        <v>482064.62897994003</v>
      </c>
      <c r="X254" s="1">
        <v>495607.05459697999</v>
      </c>
      <c r="Y254" s="1">
        <v>489995.75046423002</v>
      </c>
      <c r="Z254" s="1">
        <v>506471.90715107002</v>
      </c>
      <c r="AA254" s="1">
        <v>529532.97939134995</v>
      </c>
      <c r="AB254" s="1">
        <v>551828.47999999998</v>
      </c>
      <c r="AC254" s="1">
        <v>571233.59</v>
      </c>
      <c r="AD254" s="1">
        <v>598610.44999999995</v>
      </c>
    </row>
    <row r="255" spans="1:30">
      <c r="A255" s="1" t="s">
        <v>83</v>
      </c>
      <c r="B255" s="1" t="s">
        <v>60</v>
      </c>
      <c r="C255" s="1" t="s">
        <v>29</v>
      </c>
      <c r="D255" s="1" t="s">
        <v>29</v>
      </c>
      <c r="E255" s="1"/>
      <c r="F255" s="1"/>
      <c r="G255" s="1"/>
      <c r="H255" s="1">
        <v>72502.480968899705</v>
      </c>
      <c r="I255" s="1">
        <v>77195.764535470997</v>
      </c>
      <c r="J255" s="1">
        <v>82265.887413840101</v>
      </c>
      <c r="K255" s="1">
        <v>87842.524351739907</v>
      </c>
      <c r="L255" s="1">
        <v>93996.763971932494</v>
      </c>
      <c r="M255" s="1">
        <v>100227.11511438699</v>
      </c>
      <c r="N255" s="1">
        <v>103758.288485845</v>
      </c>
      <c r="O255" s="1">
        <v>111223.67160187</v>
      </c>
      <c r="P255" s="1">
        <v>118961.42326089001</v>
      </c>
      <c r="Q255" s="1">
        <v>128034.96801894</v>
      </c>
      <c r="R255" s="1">
        <v>137263.85122642</v>
      </c>
      <c r="S255" s="1">
        <v>146325.23458451999</v>
      </c>
      <c r="T255" s="1">
        <v>155131.35099887999</v>
      </c>
      <c r="U255" s="1">
        <v>162853.03899236</v>
      </c>
      <c r="V255" s="1">
        <v>166081.67571218999</v>
      </c>
      <c r="W255" s="1">
        <v>173498.75136105</v>
      </c>
      <c r="X255" s="1">
        <v>181877.67437299999</v>
      </c>
      <c r="Y255" s="1">
        <v>174959.20544361</v>
      </c>
      <c r="Z255" s="1">
        <v>180952.44266196</v>
      </c>
      <c r="AA255" s="1">
        <v>190111.08763990001</v>
      </c>
      <c r="AB255" s="1">
        <v>199912.82</v>
      </c>
      <c r="AC255" s="1">
        <v>209939.07</v>
      </c>
      <c r="AD255" s="1">
        <v>224504.71</v>
      </c>
    </row>
    <row r="256" spans="1:30">
      <c r="A256" s="1" t="s">
        <v>83</v>
      </c>
      <c r="B256" s="1" t="s">
        <v>74</v>
      </c>
      <c r="C256" s="1" t="s">
        <v>37</v>
      </c>
      <c r="D256" s="1" t="s">
        <v>37</v>
      </c>
      <c r="E256" s="1">
        <v>23983.3623091013</v>
      </c>
      <c r="F256" s="1">
        <v>25185.023805814399</v>
      </c>
      <c r="G256" s="1">
        <v>26863.2367254608</v>
      </c>
      <c r="H256" s="1">
        <v>28896.652249514002</v>
      </c>
      <c r="I256" s="1">
        <v>31066.780156597499</v>
      </c>
      <c r="J256" s="1">
        <v>33337.241376637299</v>
      </c>
      <c r="K256" s="1">
        <v>35897.588372171602</v>
      </c>
      <c r="L256" s="1">
        <v>38756.618021536196</v>
      </c>
      <c r="M256" s="1">
        <v>41576.094591067798</v>
      </c>
      <c r="N256" s="1">
        <v>44724.191791488302</v>
      </c>
      <c r="O256" s="1">
        <v>48401.152371819997</v>
      </c>
      <c r="P256" s="1">
        <v>53546.689523050001</v>
      </c>
      <c r="Q256" s="1">
        <v>59785.399055989998</v>
      </c>
      <c r="R256" s="1">
        <v>64268.714308039998</v>
      </c>
      <c r="S256" s="1">
        <v>68291.784519020002</v>
      </c>
      <c r="T256" s="1">
        <v>72993.327935060006</v>
      </c>
      <c r="U256" s="1">
        <v>77745.512418629994</v>
      </c>
      <c r="V256" s="1">
        <v>83001.687013219998</v>
      </c>
      <c r="W256" s="1">
        <v>88310.047915489995</v>
      </c>
      <c r="X256" s="1">
        <v>94053.524007440006</v>
      </c>
      <c r="Y256" s="1">
        <v>93445.720366430003</v>
      </c>
      <c r="Z256" s="1">
        <v>97275.324713669994</v>
      </c>
      <c r="AA256" s="1">
        <v>102656.42662102</v>
      </c>
      <c r="AB256" s="1">
        <v>108152.98</v>
      </c>
      <c r="AC256" s="1">
        <v>113989.49</v>
      </c>
      <c r="AD256" s="1">
        <v>120590.21</v>
      </c>
    </row>
    <row r="257" spans="1:30">
      <c r="A257" s="1" t="s">
        <v>83</v>
      </c>
      <c r="B257" s="1" t="s">
        <v>68</v>
      </c>
      <c r="C257" s="1" t="s">
        <v>25</v>
      </c>
      <c r="D257" s="1" t="s">
        <v>25</v>
      </c>
      <c r="E257" s="1">
        <v>47874.3268353616</v>
      </c>
      <c r="F257" s="1">
        <v>49914.7298493052</v>
      </c>
      <c r="G257" s="1">
        <v>55952.3547023012</v>
      </c>
      <c r="H257" s="1">
        <v>58701.923185633001</v>
      </c>
      <c r="I257" s="1">
        <v>61656.035072334897</v>
      </c>
      <c r="J257" s="1">
        <v>64773.997011625499</v>
      </c>
      <c r="K257" s="1">
        <v>67999.051033828393</v>
      </c>
      <c r="L257" s="1">
        <v>72087.036207943704</v>
      </c>
      <c r="M257" s="1">
        <v>76733.361459785199</v>
      </c>
      <c r="N257" s="1">
        <v>80789.395678983405</v>
      </c>
      <c r="O257" s="1">
        <v>85304.997955059996</v>
      </c>
      <c r="P257" s="1">
        <v>91252.128919089999</v>
      </c>
      <c r="Q257" s="1">
        <v>96697.838669620003</v>
      </c>
      <c r="R257" s="1">
        <v>101850.53635696</v>
      </c>
      <c r="S257" s="1">
        <v>106779.3976444</v>
      </c>
      <c r="T257" s="1">
        <v>110863.11650701999</v>
      </c>
      <c r="U257" s="1">
        <v>115743.57276046999</v>
      </c>
      <c r="V257" s="1">
        <v>121858.52339324</v>
      </c>
      <c r="W257" s="1">
        <v>128052.57794939</v>
      </c>
      <c r="X257" s="1">
        <v>133283.85188773001</v>
      </c>
      <c r="Y257" s="1">
        <v>130864.31798024</v>
      </c>
      <c r="Z257" s="1">
        <v>135424.5919918</v>
      </c>
      <c r="AA257" s="1">
        <v>142339.22173058</v>
      </c>
      <c r="AB257" s="1">
        <v>149226.1</v>
      </c>
      <c r="AC257" s="1">
        <v>156769.95000000001</v>
      </c>
      <c r="AD257" s="1">
        <v>164958.31</v>
      </c>
    </row>
    <row r="258" spans="1:30">
      <c r="A258" s="1" t="s">
        <v>83</v>
      </c>
      <c r="B258" s="1" t="s">
        <v>79</v>
      </c>
      <c r="C258" s="1" t="s">
        <v>92</v>
      </c>
      <c r="D258" s="1" t="s">
        <v>14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>
        <v>17392.12</v>
      </c>
      <c r="AB258" s="1">
        <v>18137.810000000001</v>
      </c>
      <c r="AC258" s="1">
        <v>19061.509999999998</v>
      </c>
      <c r="AD258" s="1">
        <v>19706.75</v>
      </c>
    </row>
    <row r="259" spans="1:30">
      <c r="A259" s="1" t="s">
        <v>83</v>
      </c>
      <c r="B259" s="1" t="s">
        <v>73</v>
      </c>
      <c r="C259" s="1" t="s">
        <v>35</v>
      </c>
      <c r="D259" s="1" t="s">
        <v>35</v>
      </c>
      <c r="E259" s="1">
        <v>103190.000679818</v>
      </c>
      <c r="F259" s="1">
        <v>108423.41331152301</v>
      </c>
      <c r="G259" s="1">
        <v>112857.31191133799</v>
      </c>
      <c r="H259" s="1">
        <v>118778.29800731401</v>
      </c>
      <c r="I259" s="1">
        <v>125087.19336628</v>
      </c>
      <c r="J259" s="1">
        <v>122170.255852007</v>
      </c>
      <c r="K259" s="1">
        <v>130374.55483561401</v>
      </c>
      <c r="L259" s="1">
        <v>138642.100222484</v>
      </c>
      <c r="M259" s="1">
        <v>149434.277020643</v>
      </c>
      <c r="N259" s="1">
        <v>158746.71514046</v>
      </c>
      <c r="O259" s="1">
        <v>171740.74409969</v>
      </c>
      <c r="P259" s="1">
        <v>185708.47411154999</v>
      </c>
      <c r="Q259" s="1">
        <v>202184.58770060001</v>
      </c>
      <c r="R259" s="1">
        <v>217589.13209701001</v>
      </c>
      <c r="S259" s="1">
        <v>233988.050609</v>
      </c>
      <c r="T259" s="1">
        <v>250802.99305429999</v>
      </c>
      <c r="U259" s="1">
        <v>269401.31345048</v>
      </c>
      <c r="V259" s="1">
        <v>288814.17111205001</v>
      </c>
      <c r="W259" s="1">
        <v>309156.19323397003</v>
      </c>
      <c r="X259" s="1">
        <v>330506.37625859003</v>
      </c>
      <c r="Y259" s="1">
        <v>328154.57191111997</v>
      </c>
      <c r="Z259" s="1">
        <v>343395.40859796997</v>
      </c>
      <c r="AA259" s="1">
        <v>360912.81940538</v>
      </c>
      <c r="AB259" s="1">
        <v>377207.79</v>
      </c>
      <c r="AC259" s="1">
        <v>396141.74</v>
      </c>
      <c r="AD259" s="1">
        <v>417633.93</v>
      </c>
    </row>
    <row r="260" spans="1:30">
      <c r="A260" s="1" t="s">
        <v>83</v>
      </c>
      <c r="B260" s="1" t="s">
        <v>58</v>
      </c>
      <c r="C260" s="1" t="s">
        <v>40</v>
      </c>
      <c r="D260" s="1" t="s">
        <v>40</v>
      </c>
      <c r="E260" s="1">
        <v>125529.235933431</v>
      </c>
      <c r="F260" s="1">
        <v>128627.018516368</v>
      </c>
      <c r="G260" s="1">
        <v>132594.35990895401</v>
      </c>
      <c r="H260" s="1">
        <v>137467.91374481801</v>
      </c>
      <c r="I260" s="1">
        <v>143838.875107567</v>
      </c>
      <c r="J260" s="1">
        <v>150793.60473084301</v>
      </c>
      <c r="K260" s="1">
        <v>158635.99667733299</v>
      </c>
      <c r="L260" s="1">
        <v>167894.00970962</v>
      </c>
      <c r="M260" s="1">
        <v>176410.950648097</v>
      </c>
      <c r="N260" s="1">
        <v>183664.475222551</v>
      </c>
      <c r="O260" s="1">
        <v>194012.97372025999</v>
      </c>
      <c r="P260" s="1">
        <v>206360.69935949999</v>
      </c>
      <c r="Q260" s="1">
        <v>220459.19828633999</v>
      </c>
      <c r="R260" s="1">
        <v>232175.04783085</v>
      </c>
      <c r="S260" s="1">
        <v>243297.77150442</v>
      </c>
      <c r="T260" s="1">
        <v>254044.87563463001</v>
      </c>
      <c r="U260" s="1">
        <v>266857.4007611</v>
      </c>
      <c r="V260" s="1">
        <v>281571.01305592997</v>
      </c>
      <c r="W260" s="1">
        <v>298484.06840064999</v>
      </c>
      <c r="X260" s="1">
        <v>315464.75237725</v>
      </c>
      <c r="Y260" s="1">
        <v>315129.21665535</v>
      </c>
      <c r="Z260" s="1">
        <v>326405.18490211997</v>
      </c>
      <c r="AA260" s="1">
        <v>343503.61652191001</v>
      </c>
      <c r="AB260" s="1">
        <v>360967.45</v>
      </c>
      <c r="AC260" s="1">
        <v>379119.64</v>
      </c>
      <c r="AD260" s="1">
        <v>399385.82</v>
      </c>
    </row>
    <row r="261" spans="1:30">
      <c r="A261" s="1" t="s">
        <v>83</v>
      </c>
      <c r="B261" s="1" t="s">
        <v>78</v>
      </c>
      <c r="C261" s="1" t="s">
        <v>91</v>
      </c>
      <c r="D261" s="1" t="s">
        <v>33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>
        <v>24009.13</v>
      </c>
      <c r="AC261" s="1">
        <v>24873.72</v>
      </c>
      <c r="AD261" s="1">
        <v>25875.24</v>
      </c>
    </row>
    <row r="262" spans="1:30">
      <c r="A262" s="1" t="s">
        <v>83</v>
      </c>
      <c r="B262" s="1" t="s">
        <v>61</v>
      </c>
      <c r="C262" s="1" t="s">
        <v>21</v>
      </c>
      <c r="D262" s="1" t="s">
        <v>21</v>
      </c>
      <c r="E262" s="1">
        <v>550817.39397982601</v>
      </c>
      <c r="F262" s="1">
        <v>572247.50868617499</v>
      </c>
      <c r="G262" s="1">
        <v>590149.68183589797</v>
      </c>
      <c r="H262" s="1">
        <v>645510.21572698897</v>
      </c>
      <c r="I262" s="1">
        <v>647192.67686553998</v>
      </c>
      <c r="J262" s="1">
        <v>683435.99681793305</v>
      </c>
      <c r="K262" s="1">
        <v>724561.84943529195</v>
      </c>
      <c r="L262" s="1">
        <v>771499.08824389998</v>
      </c>
      <c r="M262" s="1">
        <v>819406.17584116699</v>
      </c>
      <c r="N262" s="1">
        <v>853733.35529425705</v>
      </c>
      <c r="O262" s="1">
        <v>906685.76040491997</v>
      </c>
      <c r="P262" s="1">
        <v>965622.06109881005</v>
      </c>
      <c r="Q262" s="1">
        <v>1028409.73951044</v>
      </c>
      <c r="R262" s="1">
        <v>1093543.5458690501</v>
      </c>
      <c r="S262" s="1">
        <v>1149216.0570536901</v>
      </c>
      <c r="T262" s="1">
        <v>1207232.3415644299</v>
      </c>
      <c r="U262" s="1">
        <v>1275619.24115641</v>
      </c>
      <c r="V262" s="1">
        <v>1343662.1418310101</v>
      </c>
      <c r="W262" s="1">
        <v>1419624.1400437001</v>
      </c>
      <c r="X262" s="1">
        <v>1490959.6871041199</v>
      </c>
      <c r="Y262" s="1">
        <v>1453380.7228411699</v>
      </c>
      <c r="Z262" s="1">
        <v>1507746.39013977</v>
      </c>
      <c r="AA262" s="1">
        <v>1589984.9263083299</v>
      </c>
      <c r="AB262" s="1">
        <v>1669406.36</v>
      </c>
      <c r="AC262" s="1">
        <v>1752124.2</v>
      </c>
      <c r="AD262" s="1">
        <v>1845316.74</v>
      </c>
    </row>
    <row r="263" spans="1:30">
      <c r="A263" s="1" t="s">
        <v>83</v>
      </c>
      <c r="B263" s="1" t="s">
        <v>64</v>
      </c>
      <c r="C263" s="1" t="s">
        <v>24</v>
      </c>
      <c r="D263" s="1" t="s">
        <v>24</v>
      </c>
      <c r="E263" s="1">
        <v>54823.522882428799</v>
      </c>
      <c r="F263" s="1">
        <v>56297.048840802301</v>
      </c>
      <c r="G263" s="1">
        <v>59043.634880161699</v>
      </c>
      <c r="H263" s="1">
        <v>60885.149552463801</v>
      </c>
      <c r="I263" s="1">
        <v>63801.613408069497</v>
      </c>
      <c r="J263" s="1">
        <v>66796.410908760401</v>
      </c>
      <c r="K263" s="1">
        <v>69641.699250745805</v>
      </c>
      <c r="L263" s="1">
        <v>73838.015672212699</v>
      </c>
      <c r="M263" s="1">
        <v>77864.962834090402</v>
      </c>
      <c r="N263" s="1">
        <v>81605.382376043301</v>
      </c>
      <c r="O263" s="1">
        <v>86065.854862239998</v>
      </c>
      <c r="P263" s="1">
        <v>90797.590931789993</v>
      </c>
      <c r="Q263" s="1">
        <v>96161.928391470006</v>
      </c>
      <c r="R263" s="1">
        <v>101980.33936085</v>
      </c>
      <c r="S263" s="1">
        <v>107114.96293717</v>
      </c>
      <c r="T263" s="1">
        <v>112346.75518565001</v>
      </c>
      <c r="U263" s="1">
        <v>118183.27256065</v>
      </c>
      <c r="V263" s="1">
        <v>124289.17215841</v>
      </c>
      <c r="W263" s="1">
        <v>130596.32054435</v>
      </c>
      <c r="X263" s="1">
        <v>137243.08815461001</v>
      </c>
      <c r="Y263" s="1">
        <v>134743.38106809999</v>
      </c>
      <c r="Z263" s="1">
        <v>141212.04289315001</v>
      </c>
      <c r="AA263" s="1">
        <v>148368.93910935</v>
      </c>
      <c r="AB263" s="1">
        <v>154980.81</v>
      </c>
      <c r="AC263" s="1">
        <v>162574.47</v>
      </c>
      <c r="AD263" s="1">
        <v>171330.68</v>
      </c>
    </row>
    <row r="264" spans="1:30">
      <c r="A264" s="1" t="s">
        <v>83</v>
      </c>
      <c r="B264" s="1" t="s">
        <v>65</v>
      </c>
      <c r="C264" s="1" t="s">
        <v>31</v>
      </c>
      <c r="D264" s="1" t="s">
        <v>31</v>
      </c>
      <c r="E264" s="1">
        <v>42557.0281227706</v>
      </c>
      <c r="F264" s="1">
        <v>45712.892063957101</v>
      </c>
      <c r="G264" s="1">
        <v>47316.990186098199</v>
      </c>
      <c r="H264" s="1">
        <v>49164.479545557602</v>
      </c>
      <c r="I264" s="1">
        <v>52150.7835450645</v>
      </c>
      <c r="J264" s="1">
        <v>53043.778687120699</v>
      </c>
      <c r="K264" s="1">
        <v>54505.2625994876</v>
      </c>
      <c r="L264" s="1">
        <v>57185.0181562371</v>
      </c>
      <c r="M264" s="1">
        <v>58800.320080076599</v>
      </c>
      <c r="N264" s="1">
        <v>65936.744575431207</v>
      </c>
      <c r="O264" s="1">
        <v>70122.726129389994</v>
      </c>
      <c r="P264" s="1">
        <v>67379.140577040002</v>
      </c>
      <c r="Q264" s="1">
        <v>66340.812441150003</v>
      </c>
      <c r="R264" s="1">
        <v>69766.714413220005</v>
      </c>
      <c r="S264" s="1">
        <v>73372.963800419995</v>
      </c>
      <c r="T264" s="1">
        <v>89337.985798830006</v>
      </c>
      <c r="U264" s="1">
        <v>94524.289846939995</v>
      </c>
      <c r="V264" s="1">
        <v>94608.209353269995</v>
      </c>
      <c r="W264" s="1">
        <v>90349.129081999999</v>
      </c>
      <c r="X264" s="1">
        <v>93872.438647500006</v>
      </c>
      <c r="Y264" s="1">
        <v>93288.873639340003</v>
      </c>
      <c r="Z264" s="1">
        <v>95437.86424209</v>
      </c>
      <c r="AA264" s="1">
        <v>102073.66118626999</v>
      </c>
      <c r="AB264" s="1">
        <v>103906.21</v>
      </c>
      <c r="AC264" s="1">
        <v>109415.25</v>
      </c>
      <c r="AD264" s="1">
        <v>112939.04</v>
      </c>
    </row>
    <row r="265" spans="1:30">
      <c r="A265" s="1" t="s">
        <v>83</v>
      </c>
      <c r="B265" s="1" t="s">
        <v>77</v>
      </c>
      <c r="C265" s="1" t="s">
        <v>33</v>
      </c>
      <c r="D265" s="1" t="s">
        <v>33</v>
      </c>
      <c r="E265" s="1"/>
      <c r="F265" s="1"/>
      <c r="G265" s="1">
        <v>18987.335720098799</v>
      </c>
      <c r="H265" s="1">
        <v>20445.293797451901</v>
      </c>
      <c r="I265" s="1">
        <v>21955.6591306154</v>
      </c>
      <c r="J265" s="1">
        <v>23449.588239114299</v>
      </c>
      <c r="K265" s="1">
        <v>24516.926624125699</v>
      </c>
      <c r="L265" s="1">
        <v>26219.824722150999</v>
      </c>
      <c r="M265" s="1">
        <v>28275.291366682301</v>
      </c>
      <c r="N265" s="1">
        <v>32196.342749763</v>
      </c>
      <c r="O265" s="1">
        <v>41361.671920000001</v>
      </c>
      <c r="P265" s="1">
        <v>42867.187119419999</v>
      </c>
      <c r="Q265" s="1">
        <v>44423.335147049998</v>
      </c>
      <c r="R265" s="1">
        <v>47694.23495772</v>
      </c>
      <c r="S265" s="1">
        <v>50259.907956299998</v>
      </c>
      <c r="T265" s="1">
        <v>52346.485935240002</v>
      </c>
      <c r="U265" s="1">
        <v>54711.282179529997</v>
      </c>
      <c r="V265" s="1">
        <v>56907.958542920001</v>
      </c>
      <c r="W265" s="1">
        <v>60465.521384940002</v>
      </c>
      <c r="X265" s="1">
        <v>62074.519170599997</v>
      </c>
      <c r="Y265" s="1">
        <v>61604.125494929998</v>
      </c>
      <c r="Z265" s="1">
        <v>61289.39990982</v>
      </c>
      <c r="AA265" s="1">
        <v>62530.525547719997</v>
      </c>
      <c r="AB265" s="1">
        <v>40965.879999999997</v>
      </c>
      <c r="AC265" s="1">
        <v>49486.239999999998</v>
      </c>
      <c r="AD265" s="1">
        <v>52683.4</v>
      </c>
    </row>
    <row r="266" spans="1:30">
      <c r="A266" s="1" t="s">
        <v>83</v>
      </c>
      <c r="B266" s="1" t="s">
        <v>75</v>
      </c>
      <c r="C266" s="1" t="s">
        <v>34</v>
      </c>
      <c r="D266" s="1" t="s">
        <v>34</v>
      </c>
      <c r="E266" s="1"/>
      <c r="F266" s="1"/>
      <c r="G266" s="1"/>
      <c r="H266" s="1"/>
      <c r="I266" s="1"/>
      <c r="J266" s="1">
        <v>11254.051975222301</v>
      </c>
      <c r="K266" s="1">
        <v>12030.8218048326</v>
      </c>
      <c r="L266" s="1">
        <v>12924.366551384101</v>
      </c>
      <c r="M266" s="1">
        <v>14484.520451165999</v>
      </c>
      <c r="N266" s="1">
        <v>15357.390756847501</v>
      </c>
      <c r="O266" s="1">
        <v>17183.831830849998</v>
      </c>
      <c r="P266" s="1">
        <v>19027.504487490001</v>
      </c>
      <c r="Q266" s="1">
        <v>20786.885756610001</v>
      </c>
      <c r="R266" s="1">
        <v>22227.392552189998</v>
      </c>
      <c r="S266" s="1">
        <v>24195.65499721</v>
      </c>
      <c r="T266" s="1">
        <v>25964.432135049999</v>
      </c>
      <c r="U266" s="1">
        <v>27524.767062700001</v>
      </c>
      <c r="V266" s="1">
        <v>29282.487061039999</v>
      </c>
      <c r="W266" s="1">
        <v>31114.14270787</v>
      </c>
      <c r="X266" s="1">
        <v>32843.808455840001</v>
      </c>
      <c r="Y266" s="1">
        <v>32074.01893007</v>
      </c>
      <c r="Z266" s="1">
        <v>32898.297968209998</v>
      </c>
      <c r="AA266" s="1">
        <v>33643.018774279997</v>
      </c>
      <c r="AB266" s="1">
        <v>35402.49</v>
      </c>
      <c r="AC266" s="1">
        <v>37087.410000000003</v>
      </c>
      <c r="AD266" s="1">
        <v>39075.71</v>
      </c>
    </row>
    <row r="267" spans="1:30">
      <c r="A267" s="1" t="s">
        <v>83</v>
      </c>
      <c r="B267" s="1" t="s">
        <v>57</v>
      </c>
      <c r="C267" s="1" t="s">
        <v>39</v>
      </c>
      <c r="D267" s="1" t="s">
        <v>39</v>
      </c>
      <c r="E267" s="1">
        <v>61854.940640563102</v>
      </c>
      <c r="F267" s="1">
        <v>64118.831812823097</v>
      </c>
      <c r="G267" s="1">
        <v>67126.005455593506</v>
      </c>
      <c r="H267" s="1">
        <v>70656.832643198606</v>
      </c>
      <c r="I267" s="1">
        <v>74524.804181199506</v>
      </c>
      <c r="J267" s="1">
        <v>78798.093227406804</v>
      </c>
      <c r="K267" s="1">
        <v>83636.491947360395</v>
      </c>
      <c r="L267" s="1">
        <v>88941.199202361706</v>
      </c>
      <c r="M267" s="1">
        <v>95058.331297878496</v>
      </c>
      <c r="N267" s="1">
        <v>99129.655552507305</v>
      </c>
      <c r="O267" s="1">
        <v>105017.73945496</v>
      </c>
      <c r="P267" s="1">
        <v>111679.49297243</v>
      </c>
      <c r="Q267" s="1">
        <v>118724.42466588999</v>
      </c>
      <c r="R267" s="1">
        <v>125940.63426964</v>
      </c>
      <c r="S267" s="1">
        <v>133340.83644166999</v>
      </c>
      <c r="T267" s="1">
        <v>140719.47419497001</v>
      </c>
      <c r="U267" s="1">
        <v>148134.24388579</v>
      </c>
      <c r="V267" s="1">
        <v>155984.36412764</v>
      </c>
      <c r="W267" s="1">
        <v>163996.18904047</v>
      </c>
      <c r="X267" s="1">
        <v>172205.57130047001</v>
      </c>
      <c r="Y267" s="1">
        <v>169426.61410347</v>
      </c>
      <c r="Z267" s="1">
        <v>174999.89195257</v>
      </c>
      <c r="AA267" s="1">
        <v>182628.34250716999</v>
      </c>
      <c r="AB267" s="1">
        <v>191069.34</v>
      </c>
      <c r="AC267" s="1">
        <v>199419.97</v>
      </c>
      <c r="AD267" s="1">
        <v>206137.88</v>
      </c>
    </row>
  </sheetData>
  <autoFilter ref="A1:AD267" xr:uid="{81726791-C6CC-2045-A425-BB5F369A5BCC}">
    <sortState xmlns:xlrd2="http://schemas.microsoft.com/office/spreadsheetml/2017/richdata2" ref="A2:AD267">
      <sortCondition ref="A1:A2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5205-1A45-EE45-88BE-E6CEAC29BA1C}">
  <dimension ref="A1:AD307"/>
  <sheetViews>
    <sheetView tabSelected="1" zoomScale="81" workbookViewId="0">
      <pane xSplit="2" ySplit="1" topLeftCell="C274" activePane="bottomRight" state="frozen"/>
      <selection pane="topRight" activeCell="D1" sqref="D1"/>
      <selection pane="bottomLeft" activeCell="A2" sqref="A2"/>
      <selection pane="bottomRight" activeCell="A274" sqref="A274:B307"/>
    </sheetView>
  </sheetViews>
  <sheetFormatPr baseColWidth="10" defaultRowHeight="16"/>
  <cols>
    <col min="2" max="2" width="22.42578125" style="1" bestFit="1" customWidth="1"/>
    <col min="3" max="28" width="12" style="1" bestFit="1" customWidth="1"/>
    <col min="29" max="30" width="10.7109375" style="1"/>
  </cols>
  <sheetData>
    <row r="1" spans="1:29">
      <c r="A1" s="1" t="s">
        <v>45</v>
      </c>
      <c r="B1" s="1" t="s">
        <v>134</v>
      </c>
      <c r="C1" s="1" t="s">
        <v>82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  <c r="Y1" s="1">
        <v>2021</v>
      </c>
      <c r="Z1" s="1">
        <v>2022</v>
      </c>
      <c r="AA1" s="1">
        <v>2023</v>
      </c>
      <c r="AB1" s="1">
        <v>2024</v>
      </c>
      <c r="AC1" s="1">
        <v>2025</v>
      </c>
    </row>
    <row r="2" spans="1:29">
      <c r="A2" s="1">
        <f>VLOOKUP(B2,Legend!$C$32:$D$66,2,FALSE)</f>
        <v>11</v>
      </c>
      <c r="B2" s="1" t="s">
        <v>3</v>
      </c>
      <c r="C2" s="1" t="s">
        <v>84</v>
      </c>
      <c r="D2" s="1">
        <v>21575.61</v>
      </c>
      <c r="E2" s="1">
        <v>20882.8</v>
      </c>
      <c r="F2" s="1">
        <v>21327.97</v>
      </c>
      <c r="G2" s="1">
        <v>22025.17</v>
      </c>
      <c r="H2" s="1">
        <v>23356.22</v>
      </c>
      <c r="I2" s="1">
        <v>22447.34</v>
      </c>
      <c r="J2" s="1">
        <v>22788.31</v>
      </c>
      <c r="K2" s="1">
        <v>23612.76</v>
      </c>
      <c r="L2" s="1">
        <v>23803.54</v>
      </c>
      <c r="M2" s="1">
        <v>24412.68</v>
      </c>
      <c r="N2" s="1">
        <v>25579.57</v>
      </c>
      <c r="O2" s="1">
        <v>26515.48</v>
      </c>
      <c r="P2" s="1">
        <v>27685.11</v>
      </c>
      <c r="Q2" s="1">
        <v>28980.43</v>
      </c>
      <c r="R2" s="1">
        <v>29690.560000000001</v>
      </c>
      <c r="S2" s="1">
        <v>31186.38</v>
      </c>
      <c r="T2" s="1">
        <v>32355.09</v>
      </c>
      <c r="U2" s="1">
        <v>34052.85</v>
      </c>
      <c r="V2" s="1">
        <v>35426.160000000003</v>
      </c>
      <c r="W2" s="1">
        <v>36626.71</v>
      </c>
      <c r="X2" s="1">
        <v>37899.519999999997</v>
      </c>
      <c r="Y2" s="1">
        <v>37768.080000000002</v>
      </c>
      <c r="Z2" s="1">
        <v>39005.089999999997</v>
      </c>
      <c r="AA2" s="1">
        <v>41626.32</v>
      </c>
      <c r="AB2" s="1">
        <v>42121.38</v>
      </c>
      <c r="AC2" s="1">
        <v>43637.59</v>
      </c>
    </row>
    <row r="3" spans="1:29">
      <c r="A3" s="1">
        <f>VLOOKUP(B3,Legend!$C$32:$D$66,2,FALSE)</f>
        <v>12</v>
      </c>
      <c r="B3" s="1" t="s">
        <v>41</v>
      </c>
      <c r="C3" s="1" t="s">
        <v>84</v>
      </c>
      <c r="D3" s="1">
        <v>57864.17</v>
      </c>
      <c r="E3" s="1">
        <v>60061.78</v>
      </c>
      <c r="F3" s="1">
        <v>61584.13</v>
      </c>
      <c r="G3" s="1">
        <v>63131.37</v>
      </c>
      <c r="H3" s="1">
        <v>65499.040000000001</v>
      </c>
      <c r="I3" s="1">
        <v>67713.98</v>
      </c>
      <c r="J3" s="1">
        <v>69340.929999999993</v>
      </c>
      <c r="K3" s="1">
        <v>72794.06</v>
      </c>
      <c r="L3" s="1">
        <v>77201.710000000006</v>
      </c>
      <c r="M3" s="1">
        <v>80943.58</v>
      </c>
      <c r="N3" s="1">
        <v>85561.14</v>
      </c>
      <c r="O3" s="1">
        <v>90592.55</v>
      </c>
      <c r="P3" s="1">
        <v>95405.42</v>
      </c>
      <c r="Q3" s="1">
        <v>99894.57</v>
      </c>
      <c r="R3" s="1">
        <v>104262.83</v>
      </c>
      <c r="S3" s="1">
        <v>110066</v>
      </c>
      <c r="T3" s="1">
        <v>115179.69</v>
      </c>
      <c r="U3" s="1">
        <v>121300.04</v>
      </c>
      <c r="V3" s="1">
        <v>127202.65</v>
      </c>
      <c r="W3" s="1">
        <v>133726.01999999999</v>
      </c>
      <c r="X3" s="1">
        <v>136327.03</v>
      </c>
      <c r="Y3" s="1">
        <v>141601.18</v>
      </c>
      <c r="Z3" s="1">
        <v>148721.97</v>
      </c>
      <c r="AA3" s="1">
        <v>153246.71</v>
      </c>
      <c r="AB3" s="1">
        <v>158940.62</v>
      </c>
      <c r="AC3" s="1">
        <v>166702.96</v>
      </c>
    </row>
    <row r="4" spans="1:29">
      <c r="A4" s="1">
        <f>VLOOKUP(B4,Legend!$C$32:$D$66,2,FALSE)</f>
        <v>13</v>
      </c>
      <c r="B4" s="1" t="s">
        <v>39</v>
      </c>
      <c r="C4" s="1" t="s">
        <v>84</v>
      </c>
      <c r="D4" s="1">
        <v>16086.3</v>
      </c>
      <c r="E4" s="1">
        <v>16870.099999999999</v>
      </c>
      <c r="F4" s="1">
        <v>18196.02</v>
      </c>
      <c r="G4" s="1">
        <v>19586.71</v>
      </c>
      <c r="H4" s="1">
        <v>20720.73</v>
      </c>
      <c r="I4" s="1">
        <v>21784.17</v>
      </c>
      <c r="J4" s="1">
        <v>22874.959999999999</v>
      </c>
      <c r="K4" s="1">
        <v>24011.55</v>
      </c>
      <c r="L4" s="1">
        <v>25325.98</v>
      </c>
      <c r="M4" s="1">
        <v>26205.69</v>
      </c>
      <c r="N4" s="1">
        <v>27277.72</v>
      </c>
      <c r="O4" s="1">
        <v>28535.02</v>
      </c>
      <c r="P4" s="1">
        <v>29284.9</v>
      </c>
      <c r="Q4" s="1">
        <v>30372.99</v>
      </c>
      <c r="R4" s="1">
        <v>32151.49</v>
      </c>
      <c r="S4" s="1">
        <v>33546.76</v>
      </c>
      <c r="T4" s="1">
        <v>34222.559999999998</v>
      </c>
      <c r="U4" s="1">
        <v>35394.69</v>
      </c>
      <c r="V4" s="1">
        <v>36639.599999999999</v>
      </c>
      <c r="W4" s="1">
        <v>37549.46</v>
      </c>
      <c r="X4" s="1">
        <v>37993.39</v>
      </c>
      <c r="Y4" s="1">
        <v>38820.71</v>
      </c>
      <c r="Z4" s="1">
        <v>40188.629999999997</v>
      </c>
      <c r="AA4" s="1">
        <v>41612.83</v>
      </c>
      <c r="AB4" s="1">
        <v>42467.73</v>
      </c>
      <c r="AC4" s="1">
        <v>44227.28</v>
      </c>
    </row>
    <row r="5" spans="1:29">
      <c r="A5" s="1">
        <f>VLOOKUP(B5,Legend!$C$32:$D$66,2,FALSE)</f>
        <v>14</v>
      </c>
      <c r="B5" s="1" t="s">
        <v>4</v>
      </c>
      <c r="C5" s="1" t="s">
        <v>84</v>
      </c>
      <c r="D5" s="1">
        <v>59133.63</v>
      </c>
      <c r="E5" s="1">
        <v>62824.44</v>
      </c>
      <c r="F5" s="1">
        <v>66608.53</v>
      </c>
      <c r="G5" s="1">
        <v>63611.7</v>
      </c>
      <c r="H5" s="1">
        <v>68065.58</v>
      </c>
      <c r="I5" s="1">
        <v>72673.070000000007</v>
      </c>
      <c r="J5" s="1">
        <v>77010.89</v>
      </c>
      <c r="K5" s="1">
        <v>80739.72</v>
      </c>
      <c r="L5" s="1">
        <v>84607.9</v>
      </c>
      <c r="M5" s="1">
        <v>87757.75</v>
      </c>
      <c r="N5" s="1">
        <v>91152.77</v>
      </c>
      <c r="O5" s="1">
        <v>94307.4</v>
      </c>
      <c r="P5" s="1">
        <v>97910.95</v>
      </c>
      <c r="Q5" s="1">
        <v>102216.74</v>
      </c>
      <c r="R5" s="1">
        <v>108498.09</v>
      </c>
      <c r="S5" s="1">
        <v>108969.04</v>
      </c>
      <c r="T5" s="1">
        <v>113287.59</v>
      </c>
      <c r="U5" s="1">
        <v>119281.64</v>
      </c>
      <c r="V5" s="1">
        <v>124547.86</v>
      </c>
      <c r="W5" s="1">
        <v>129690.41</v>
      </c>
      <c r="X5" s="1">
        <v>135124.21</v>
      </c>
      <c r="Y5" s="1">
        <v>140717.74</v>
      </c>
      <c r="Z5" s="1">
        <v>144691.04</v>
      </c>
      <c r="AA5" s="1">
        <v>149361.10999999999</v>
      </c>
      <c r="AB5" s="1">
        <v>152698.4</v>
      </c>
      <c r="AC5" s="1">
        <v>160178.56</v>
      </c>
    </row>
    <row r="6" spans="1:29">
      <c r="A6" s="1">
        <f>VLOOKUP(B6,Legend!$C$32:$D$66,2,FALSE)</f>
        <v>15</v>
      </c>
      <c r="B6" s="1" t="s">
        <v>5</v>
      </c>
      <c r="C6" s="1" t="s">
        <v>84</v>
      </c>
      <c r="D6" s="1">
        <v>13821.41</v>
      </c>
      <c r="E6" s="1">
        <v>14334.5</v>
      </c>
      <c r="F6" s="1">
        <v>15029.5</v>
      </c>
      <c r="G6" s="1">
        <v>15563.87</v>
      </c>
      <c r="H6" s="1">
        <v>16354.9</v>
      </c>
      <c r="I6" s="1">
        <v>17108.3</v>
      </c>
      <c r="J6" s="1">
        <v>19047.669999999998</v>
      </c>
      <c r="K6" s="1">
        <v>19917.72</v>
      </c>
      <c r="L6" s="1">
        <v>21056.68</v>
      </c>
      <c r="M6" s="1">
        <v>22458.21</v>
      </c>
      <c r="N6" s="1">
        <v>23627.24</v>
      </c>
      <c r="O6" s="1">
        <v>24744.880000000001</v>
      </c>
      <c r="P6" s="1">
        <v>26429.05</v>
      </c>
      <c r="Q6" s="1">
        <v>28070.959999999999</v>
      </c>
      <c r="R6" s="1">
        <v>31145.43</v>
      </c>
      <c r="S6" s="1">
        <v>32846.19</v>
      </c>
      <c r="T6" s="1">
        <v>34933.69</v>
      </c>
      <c r="U6" s="1">
        <v>36809.089999999997</v>
      </c>
      <c r="V6" s="1">
        <v>38041.61</v>
      </c>
      <c r="W6" s="1">
        <v>39160.080000000002</v>
      </c>
      <c r="X6" s="1">
        <v>39751.94</v>
      </c>
      <c r="Y6" s="1">
        <v>41209.129999999997</v>
      </c>
      <c r="Z6" s="1">
        <v>43268.38</v>
      </c>
      <c r="AA6" s="1">
        <v>45698.37</v>
      </c>
      <c r="AB6" s="1">
        <v>47643.01</v>
      </c>
      <c r="AC6" s="1">
        <v>50259.68</v>
      </c>
    </row>
    <row r="7" spans="1:29">
      <c r="A7" s="1">
        <f>VLOOKUP(B7,Legend!$C$32:$D$66,2,FALSE)</f>
        <v>16</v>
      </c>
      <c r="B7" s="1" t="s">
        <v>40</v>
      </c>
      <c r="C7" s="1" t="s">
        <v>84</v>
      </c>
      <c r="D7" s="1">
        <v>23259.1</v>
      </c>
      <c r="E7" s="1">
        <v>24246.67</v>
      </c>
      <c r="F7" s="1">
        <v>25345.81</v>
      </c>
      <c r="G7" s="1">
        <v>26609.16</v>
      </c>
      <c r="H7" s="1">
        <v>28243.27</v>
      </c>
      <c r="I7" s="1">
        <v>29902.61</v>
      </c>
      <c r="J7" s="1">
        <v>31828.85</v>
      </c>
      <c r="K7" s="1">
        <v>33891.449999999997</v>
      </c>
      <c r="L7" s="1">
        <v>35276.199999999997</v>
      </c>
      <c r="M7" s="1">
        <v>36371.82</v>
      </c>
      <c r="N7" s="1">
        <v>38067.01</v>
      </c>
      <c r="O7" s="1">
        <v>40120.769999999997</v>
      </c>
      <c r="P7" s="1">
        <v>42557.3</v>
      </c>
      <c r="Q7" s="1">
        <v>44794.97</v>
      </c>
      <c r="R7" s="1">
        <v>46612.03</v>
      </c>
      <c r="S7" s="1">
        <v>48287.68</v>
      </c>
      <c r="T7" s="1">
        <v>48942.64</v>
      </c>
      <c r="U7" s="1">
        <v>49518.879999999997</v>
      </c>
      <c r="V7" s="1">
        <v>50674.28</v>
      </c>
      <c r="W7" s="1">
        <v>52366.83</v>
      </c>
      <c r="X7" s="1">
        <v>53281.53</v>
      </c>
      <c r="Y7" s="1">
        <v>54834.53</v>
      </c>
      <c r="Z7" s="1">
        <v>56926.73</v>
      </c>
      <c r="AA7" s="1">
        <v>58154.46</v>
      </c>
      <c r="AB7" s="1">
        <v>59555.29</v>
      </c>
      <c r="AC7" s="1">
        <v>63001.27</v>
      </c>
    </row>
    <row r="8" spans="1:29">
      <c r="A8" s="1">
        <f>VLOOKUP(B8,Legend!$C$32:$D$66,2,FALSE)</f>
        <v>17</v>
      </c>
      <c r="B8" s="1" t="s">
        <v>6</v>
      </c>
      <c r="C8" s="1" t="s">
        <v>84</v>
      </c>
      <c r="D8" s="1">
        <v>5728.65</v>
      </c>
      <c r="E8" s="1">
        <v>5937.16</v>
      </c>
      <c r="F8" s="1">
        <v>6202.04</v>
      </c>
      <c r="G8" s="1">
        <v>6565.87</v>
      </c>
      <c r="H8" s="1">
        <v>6928.19</v>
      </c>
      <c r="I8" s="1">
        <v>7331.42</v>
      </c>
      <c r="J8" s="1">
        <v>7751.37</v>
      </c>
      <c r="K8" s="1">
        <v>8189.66</v>
      </c>
      <c r="L8" s="1">
        <v>8643.42</v>
      </c>
      <c r="M8" s="1">
        <v>9119.25</v>
      </c>
      <c r="N8" s="1">
        <v>9343.9599999999991</v>
      </c>
      <c r="O8" s="1">
        <v>9734.67</v>
      </c>
      <c r="P8" s="1">
        <v>10272.89</v>
      </c>
      <c r="Q8" s="1">
        <v>10687.21</v>
      </c>
      <c r="R8" s="1">
        <v>10950.44</v>
      </c>
      <c r="S8" s="1">
        <v>11197.98</v>
      </c>
      <c r="T8" s="1">
        <v>11551.54</v>
      </c>
      <c r="U8" s="1">
        <v>11929.47</v>
      </c>
      <c r="V8" s="1">
        <v>12309.49</v>
      </c>
      <c r="W8" s="1">
        <v>12747.26</v>
      </c>
      <c r="X8" s="1">
        <v>12795.99</v>
      </c>
      <c r="Y8" s="1">
        <v>13109.72</v>
      </c>
      <c r="Z8" s="1">
        <v>13699.33</v>
      </c>
      <c r="AA8" s="1">
        <v>13981.69</v>
      </c>
      <c r="AB8" s="1">
        <v>14341.27</v>
      </c>
      <c r="AC8" s="1">
        <v>14930.39</v>
      </c>
    </row>
    <row r="9" spans="1:29">
      <c r="A9" s="1">
        <f>VLOOKUP(B9,Legend!$C$32:$D$66,2,FALSE)</f>
        <v>18</v>
      </c>
      <c r="B9" s="1" t="s">
        <v>7</v>
      </c>
      <c r="C9" s="1" t="s">
        <v>84</v>
      </c>
      <c r="D9" s="1">
        <v>36401.86</v>
      </c>
      <c r="E9" s="1">
        <v>37589.5</v>
      </c>
      <c r="F9" s="1">
        <v>38093.11</v>
      </c>
      <c r="G9" s="1">
        <v>39660.9</v>
      </c>
      <c r="H9" s="1">
        <v>41879.08</v>
      </c>
      <c r="I9" s="1">
        <v>43834.02</v>
      </c>
      <c r="J9" s="1">
        <v>46198.15</v>
      </c>
      <c r="K9" s="1">
        <v>48747.48</v>
      </c>
      <c r="L9" s="1">
        <v>50168.11</v>
      </c>
      <c r="M9" s="1">
        <v>51486.83</v>
      </c>
      <c r="N9" s="1">
        <v>52038.77</v>
      </c>
      <c r="O9" s="1">
        <v>54841.03</v>
      </c>
      <c r="P9" s="1">
        <v>56997.47</v>
      </c>
      <c r="Q9" s="1">
        <v>59636.49</v>
      </c>
      <c r="R9" s="1">
        <v>61595.15</v>
      </c>
      <c r="S9" s="1">
        <v>63745.49</v>
      </c>
      <c r="T9" s="1">
        <v>65730.539999999994</v>
      </c>
      <c r="U9" s="1">
        <v>66297.14</v>
      </c>
      <c r="V9" s="1">
        <v>66941.02</v>
      </c>
      <c r="W9" s="1">
        <v>67848.649999999994</v>
      </c>
      <c r="X9" s="1">
        <v>68312.25</v>
      </c>
      <c r="Y9" s="1">
        <v>67969.86</v>
      </c>
      <c r="Z9" s="1">
        <v>69317.66</v>
      </c>
      <c r="AA9" s="1">
        <v>69697.990000000005</v>
      </c>
      <c r="AB9" s="1">
        <v>68339.77</v>
      </c>
      <c r="AC9" s="1">
        <v>72381.45</v>
      </c>
    </row>
    <row r="10" spans="1:29">
      <c r="A10" s="1">
        <f>VLOOKUP(B10,Legend!$C$32:$D$66,2,FALSE)</f>
        <v>19</v>
      </c>
      <c r="B10" s="1" t="s">
        <v>28</v>
      </c>
      <c r="C10" s="1" t="s">
        <v>84</v>
      </c>
      <c r="D10" s="1">
        <v>3798.22</v>
      </c>
      <c r="E10" s="1">
        <v>4111.4399999999996</v>
      </c>
      <c r="F10" s="1">
        <v>4317.4399999999996</v>
      </c>
      <c r="G10" s="1">
        <v>4410.78</v>
      </c>
      <c r="H10" s="1">
        <v>4606.99</v>
      </c>
      <c r="I10" s="1">
        <v>4824.45</v>
      </c>
      <c r="J10" s="1">
        <v>5090.6000000000004</v>
      </c>
      <c r="K10" s="1">
        <v>5244.62</v>
      </c>
      <c r="L10" s="1">
        <v>5457.99</v>
      </c>
      <c r="M10" s="1">
        <v>5658.28</v>
      </c>
      <c r="N10" s="1">
        <v>6097.69</v>
      </c>
      <c r="O10" s="1">
        <v>6642.8</v>
      </c>
      <c r="P10" s="1">
        <v>7072.89</v>
      </c>
      <c r="Q10" s="1">
        <v>7557.66</v>
      </c>
      <c r="R10" s="1">
        <v>8254.34</v>
      </c>
      <c r="S10" s="1">
        <v>8743.51</v>
      </c>
      <c r="T10" s="1">
        <v>9123.19</v>
      </c>
      <c r="U10" s="1">
        <v>9095.69</v>
      </c>
      <c r="V10" s="1">
        <v>9589.7199999999993</v>
      </c>
      <c r="W10" s="1">
        <v>9862.83</v>
      </c>
      <c r="X10" s="1">
        <v>10666.36</v>
      </c>
      <c r="Y10" s="1">
        <v>10768.72</v>
      </c>
      <c r="Z10" s="1">
        <v>10875.68</v>
      </c>
      <c r="AA10" s="1">
        <v>11281.88</v>
      </c>
      <c r="AB10" s="1">
        <v>11634.94</v>
      </c>
      <c r="AC10" s="1">
        <v>12003.87</v>
      </c>
    </row>
    <row r="11" spans="1:29">
      <c r="A11" s="1">
        <f>VLOOKUP(B11,Legend!$C$32:$D$66,2,FALSE)</f>
        <v>21</v>
      </c>
      <c r="B11" s="1" t="s">
        <v>29</v>
      </c>
      <c r="C11" s="1" t="s">
        <v>84</v>
      </c>
      <c r="G11" s="1">
        <v>3288.86</v>
      </c>
      <c r="H11" s="1">
        <v>3476.17</v>
      </c>
      <c r="I11" s="1">
        <v>3663.79</v>
      </c>
      <c r="J11" s="1">
        <v>3862.14</v>
      </c>
      <c r="K11" s="1">
        <v>4105.26</v>
      </c>
      <c r="L11" s="1">
        <v>4261.1099999999997</v>
      </c>
      <c r="M11" s="1">
        <v>4324.91</v>
      </c>
      <c r="N11" s="1">
        <v>4506.5600000000004</v>
      </c>
      <c r="O11" s="1">
        <v>4683.47</v>
      </c>
      <c r="P11" s="1">
        <v>4794.17</v>
      </c>
      <c r="Q11" s="1">
        <v>5000.01</v>
      </c>
      <c r="R11" s="1">
        <v>5378.15</v>
      </c>
      <c r="S11" s="1">
        <v>5689.22</v>
      </c>
      <c r="T11" s="1">
        <v>6018.41</v>
      </c>
      <c r="U11" s="1">
        <v>5945.61</v>
      </c>
      <c r="V11" s="1">
        <v>5757.78</v>
      </c>
      <c r="W11" s="1">
        <v>5717.73</v>
      </c>
      <c r="X11" s="1">
        <v>5466.78</v>
      </c>
      <c r="Y11" s="1">
        <v>5322.05</v>
      </c>
      <c r="Z11" s="1">
        <v>5601.86</v>
      </c>
      <c r="AA11" s="1">
        <v>5687.64</v>
      </c>
      <c r="AB11" s="1">
        <v>5720.17</v>
      </c>
      <c r="AC11" s="1">
        <v>5919.88</v>
      </c>
    </row>
    <row r="12" spans="1:29">
      <c r="A12" s="1">
        <f>VLOOKUP(B12,Legend!$C$32:$D$66,2,FALSE)</f>
        <v>31</v>
      </c>
      <c r="B12" s="1" t="s">
        <v>8</v>
      </c>
      <c r="C12" s="1" t="s">
        <v>84</v>
      </c>
      <c r="D12" s="1">
        <v>1640.57</v>
      </c>
      <c r="E12" s="1">
        <v>1594.77</v>
      </c>
      <c r="F12" s="1">
        <v>1448.79</v>
      </c>
      <c r="G12" s="1">
        <v>1221.17</v>
      </c>
      <c r="H12" s="1">
        <v>1205.6099999999999</v>
      </c>
      <c r="I12" s="1">
        <v>1218.29</v>
      </c>
      <c r="J12" s="1">
        <v>1232.01</v>
      </c>
      <c r="K12" s="1">
        <v>1251.06</v>
      </c>
      <c r="L12" s="1">
        <v>1260.72</v>
      </c>
      <c r="M12" s="1">
        <v>1265.06</v>
      </c>
      <c r="N12" s="1">
        <v>1275.6300000000001</v>
      </c>
      <c r="O12" s="1">
        <v>1277.28</v>
      </c>
      <c r="P12" s="1">
        <v>1319.31</v>
      </c>
      <c r="Q12" s="1">
        <v>1353.56</v>
      </c>
      <c r="R12" s="1">
        <v>1359.95</v>
      </c>
      <c r="S12" s="1">
        <v>1375.42</v>
      </c>
      <c r="T12" s="1">
        <v>1387.53</v>
      </c>
      <c r="U12" s="1">
        <v>1391.53</v>
      </c>
      <c r="V12" s="1">
        <v>1394.05</v>
      </c>
      <c r="W12" s="1">
        <v>1398.22</v>
      </c>
      <c r="X12" s="1">
        <v>1405.1</v>
      </c>
      <c r="Y12" s="1">
        <v>1463.34</v>
      </c>
      <c r="Z12" s="1">
        <v>1501.26</v>
      </c>
      <c r="AA12" s="1">
        <v>1443.04</v>
      </c>
      <c r="AB12" s="1">
        <v>1516.95</v>
      </c>
      <c r="AC12" s="1">
        <v>1561.67</v>
      </c>
    </row>
    <row r="13" spans="1:29">
      <c r="A13" s="1">
        <f>VLOOKUP(B13,Legend!$C$32:$D$66,2,FALSE)</f>
        <v>32</v>
      </c>
      <c r="B13" s="1" t="s">
        <v>21</v>
      </c>
      <c r="C13" s="1" t="s">
        <v>84</v>
      </c>
      <c r="D13" s="1">
        <v>60856.34</v>
      </c>
      <c r="E13" s="1">
        <v>67181.710000000006</v>
      </c>
      <c r="F13" s="1">
        <v>66846.149999999994</v>
      </c>
      <c r="G13" s="1">
        <v>68505.570000000007</v>
      </c>
      <c r="H13" s="1">
        <v>72851.48</v>
      </c>
      <c r="I13" s="1">
        <v>73875.399999999994</v>
      </c>
      <c r="J13" s="1">
        <v>73621.7</v>
      </c>
      <c r="K13" s="1">
        <v>75451.5</v>
      </c>
      <c r="L13" s="1">
        <v>78522.399999999994</v>
      </c>
      <c r="M13" s="1">
        <v>88209.99</v>
      </c>
      <c r="N13" s="1">
        <v>89088.26</v>
      </c>
      <c r="O13" s="1">
        <v>88386.51</v>
      </c>
      <c r="P13" s="1">
        <v>88409.46</v>
      </c>
      <c r="Q13" s="1">
        <v>92390.13</v>
      </c>
      <c r="R13" s="1">
        <v>92653.58</v>
      </c>
      <c r="S13" s="1">
        <v>92802.8</v>
      </c>
      <c r="T13" s="1">
        <v>98096.58</v>
      </c>
      <c r="U13" s="1">
        <v>99669.37</v>
      </c>
      <c r="V13" s="1">
        <v>101752.2</v>
      </c>
      <c r="W13" s="1">
        <v>104596.75</v>
      </c>
      <c r="X13" s="1">
        <v>107000.79</v>
      </c>
      <c r="Y13" s="1">
        <v>108406.55</v>
      </c>
      <c r="Z13" s="1">
        <v>113186.39</v>
      </c>
      <c r="AA13" s="1">
        <v>113308.41</v>
      </c>
      <c r="AB13" s="1">
        <v>115104.77</v>
      </c>
      <c r="AC13" s="1">
        <v>126696.51</v>
      </c>
    </row>
    <row r="14" spans="1:29">
      <c r="A14" s="1">
        <f>VLOOKUP(B14,Legend!$C$32:$D$66,2,FALSE)</f>
        <v>33</v>
      </c>
      <c r="B14" s="1" t="s">
        <v>22</v>
      </c>
      <c r="C14" s="1" t="s">
        <v>84</v>
      </c>
      <c r="D14" s="1">
        <v>74414.100000000006</v>
      </c>
      <c r="E14" s="1">
        <v>75249.33</v>
      </c>
      <c r="F14" s="1">
        <v>78974.16</v>
      </c>
      <c r="G14" s="1">
        <v>77357.679999999993</v>
      </c>
      <c r="H14" s="1">
        <v>81484.100000000006</v>
      </c>
      <c r="I14" s="1">
        <v>85239.54</v>
      </c>
      <c r="J14" s="1">
        <v>88308.93</v>
      </c>
      <c r="K14" s="1">
        <v>90760.04</v>
      </c>
      <c r="L14" s="1">
        <v>93659.82</v>
      </c>
      <c r="M14" s="1">
        <v>97136.21</v>
      </c>
      <c r="N14" s="1">
        <v>99572.44</v>
      </c>
      <c r="O14" s="1">
        <v>103389.33</v>
      </c>
      <c r="P14" s="1">
        <v>106536.7</v>
      </c>
      <c r="Q14" s="1">
        <v>108832.11</v>
      </c>
      <c r="R14" s="1">
        <v>107793.38</v>
      </c>
      <c r="S14" s="1">
        <v>113826.3</v>
      </c>
      <c r="T14" s="1">
        <v>116331.12</v>
      </c>
      <c r="U14" s="1">
        <v>118450.17</v>
      </c>
      <c r="V14" s="1">
        <v>121554.48</v>
      </c>
      <c r="W14" s="1">
        <v>123150.02</v>
      </c>
      <c r="X14" s="1">
        <v>126111.76</v>
      </c>
      <c r="Y14" s="1">
        <v>127065.84</v>
      </c>
      <c r="Z14" s="1">
        <v>130762.52</v>
      </c>
      <c r="AA14" s="1">
        <v>131330.54</v>
      </c>
      <c r="AB14" s="1">
        <v>133162.54</v>
      </c>
      <c r="AC14" s="1">
        <v>139530.4</v>
      </c>
    </row>
    <row r="15" spans="1:29">
      <c r="A15" s="1">
        <f>VLOOKUP(B15,Legend!$C$32:$D$66,2,FALSE)</f>
        <v>34</v>
      </c>
      <c r="B15" s="1" t="s">
        <v>9</v>
      </c>
      <c r="C15" s="1" t="s">
        <v>84</v>
      </c>
      <c r="D15" s="1">
        <v>5533.2</v>
      </c>
      <c r="E15" s="1">
        <v>5759.8</v>
      </c>
      <c r="F15" s="1">
        <v>5860.64</v>
      </c>
      <c r="G15" s="1">
        <v>5886.44</v>
      </c>
      <c r="H15" s="1">
        <v>6095.14</v>
      </c>
      <c r="I15" s="1">
        <v>6360.34</v>
      </c>
      <c r="J15" s="1">
        <v>6602.23</v>
      </c>
      <c r="K15" s="1">
        <v>6655.05</v>
      </c>
      <c r="L15" s="1">
        <v>7035.5</v>
      </c>
      <c r="M15" s="1">
        <v>7272.59</v>
      </c>
      <c r="N15" s="1">
        <v>7252.6</v>
      </c>
      <c r="O15" s="1">
        <v>7134.68</v>
      </c>
      <c r="P15" s="1">
        <v>7500.73</v>
      </c>
      <c r="Q15" s="1">
        <v>7670.03</v>
      </c>
      <c r="R15" s="1">
        <v>7508.98</v>
      </c>
      <c r="S15" s="1">
        <v>7667.6</v>
      </c>
      <c r="T15" s="1">
        <v>7779.8</v>
      </c>
      <c r="U15" s="1">
        <v>7930.31</v>
      </c>
      <c r="V15" s="1">
        <v>8101.23</v>
      </c>
      <c r="W15" s="1">
        <v>8184.19</v>
      </c>
      <c r="X15" s="1">
        <v>8534.64</v>
      </c>
      <c r="Y15" s="1">
        <v>8638.19</v>
      </c>
      <c r="Z15" s="1">
        <v>9077.7800000000007</v>
      </c>
      <c r="AA15" s="1">
        <v>9194.0300000000007</v>
      </c>
      <c r="AB15" s="1">
        <v>9206.5</v>
      </c>
      <c r="AC15" s="1">
        <v>9791.84</v>
      </c>
    </row>
    <row r="16" spans="1:29">
      <c r="A16" s="1">
        <f>VLOOKUP(B16,Legend!$C$32:$D$66,2,FALSE)</f>
        <v>35</v>
      </c>
      <c r="B16" s="1" t="s">
        <v>23</v>
      </c>
      <c r="C16" s="1" t="s">
        <v>84</v>
      </c>
      <c r="D16" s="1">
        <v>104112.98</v>
      </c>
      <c r="E16" s="1">
        <v>105425.77</v>
      </c>
      <c r="F16" s="1">
        <v>107560.12</v>
      </c>
      <c r="G16" s="1">
        <v>109612.12</v>
      </c>
      <c r="H16" s="1">
        <v>112702.18</v>
      </c>
      <c r="I16" s="1">
        <v>116264.13</v>
      </c>
      <c r="J16" s="1">
        <v>118147.24</v>
      </c>
      <c r="K16" s="1">
        <v>121859.06</v>
      </c>
      <c r="L16" s="1">
        <v>125664.22</v>
      </c>
      <c r="M16" s="1">
        <v>130589.82</v>
      </c>
      <c r="N16" s="1">
        <v>133504.56</v>
      </c>
      <c r="O16" s="1">
        <v>138870.09</v>
      </c>
      <c r="P16" s="1">
        <v>146002.57</v>
      </c>
      <c r="Q16" s="1">
        <v>150463.72</v>
      </c>
      <c r="R16" s="1">
        <v>155783.96</v>
      </c>
      <c r="S16" s="1">
        <v>160889.4</v>
      </c>
      <c r="T16" s="1">
        <v>164762.91</v>
      </c>
      <c r="U16" s="1">
        <v>167360.57</v>
      </c>
      <c r="V16" s="1">
        <v>163799.94</v>
      </c>
      <c r="W16" s="1">
        <v>165951.23000000001</v>
      </c>
      <c r="X16" s="1">
        <v>167631.24</v>
      </c>
      <c r="Y16" s="1">
        <v>170556.77</v>
      </c>
      <c r="Z16" s="1">
        <v>173747.56</v>
      </c>
      <c r="AA16" s="1">
        <v>177668.37</v>
      </c>
      <c r="AB16" s="1">
        <v>177809.47</v>
      </c>
      <c r="AC16" s="1">
        <v>186662.71</v>
      </c>
    </row>
    <row r="17" spans="1:29">
      <c r="A17" s="1">
        <f>VLOOKUP(B17,Legend!$C$32:$D$66,2,FALSE)</f>
        <v>36</v>
      </c>
      <c r="B17" s="1" t="s">
        <v>10</v>
      </c>
      <c r="C17" s="1" t="s">
        <v>84</v>
      </c>
      <c r="D17" s="1">
        <v>10985.99</v>
      </c>
      <c r="E17" s="1">
        <v>11506.54</v>
      </c>
      <c r="F17" s="1">
        <v>11692.12</v>
      </c>
      <c r="G17" s="1">
        <v>12037.69</v>
      </c>
      <c r="H17" s="1">
        <v>12287.14</v>
      </c>
      <c r="I17" s="1">
        <v>12614.58</v>
      </c>
      <c r="J17" s="1">
        <v>12535.72</v>
      </c>
      <c r="K17" s="1">
        <v>14118.95</v>
      </c>
      <c r="L17" s="1">
        <v>14569.42</v>
      </c>
      <c r="M17" s="1">
        <v>15354.49</v>
      </c>
      <c r="N17" s="1">
        <v>16737.61</v>
      </c>
      <c r="O17" s="1">
        <v>17242.080000000002</v>
      </c>
      <c r="P17" s="1">
        <v>17793.38</v>
      </c>
      <c r="Q17" s="1">
        <v>18990.919999999998</v>
      </c>
      <c r="R17" s="1">
        <v>19456.95</v>
      </c>
      <c r="S17" s="1">
        <v>20743.47</v>
      </c>
      <c r="T17" s="1">
        <v>22108.75</v>
      </c>
      <c r="U17" s="1">
        <v>23055.55</v>
      </c>
      <c r="V17" s="1">
        <v>23880.77</v>
      </c>
      <c r="W17" s="1">
        <v>24408.33</v>
      </c>
      <c r="X17" s="1">
        <v>25275.08</v>
      </c>
      <c r="Y17" s="1">
        <v>25416.58</v>
      </c>
      <c r="Z17" s="1">
        <v>26490.53</v>
      </c>
      <c r="AA17" s="1">
        <v>26531.3</v>
      </c>
      <c r="AB17" s="1">
        <v>26703.35</v>
      </c>
      <c r="AC17" s="1">
        <v>29266.23</v>
      </c>
    </row>
    <row r="18" spans="1:29">
      <c r="A18" s="1">
        <f>VLOOKUP(B18,Legend!$C$32:$D$66,2,FALSE)</f>
        <v>51</v>
      </c>
      <c r="B18" s="1" t="s">
        <v>11</v>
      </c>
      <c r="C18" s="1" t="s">
        <v>84</v>
      </c>
      <c r="D18" s="1">
        <v>10487.44</v>
      </c>
      <c r="E18" s="1">
        <v>11082.48</v>
      </c>
      <c r="F18" s="1">
        <v>11488.73</v>
      </c>
      <c r="G18" s="1">
        <v>11905.69</v>
      </c>
      <c r="H18" s="1">
        <v>12341.19</v>
      </c>
      <c r="I18" s="1">
        <v>12858.93</v>
      </c>
      <c r="J18" s="1">
        <v>13386.6</v>
      </c>
      <c r="K18" s="1">
        <v>14618.96</v>
      </c>
      <c r="L18" s="1">
        <v>14963.8</v>
      </c>
      <c r="M18" s="1">
        <v>15813.19</v>
      </c>
      <c r="N18" s="1">
        <v>16092.72</v>
      </c>
      <c r="O18" s="1">
        <v>16258.74</v>
      </c>
      <c r="P18" s="1">
        <v>16969.88</v>
      </c>
      <c r="Q18" s="1">
        <v>17343.29</v>
      </c>
      <c r="R18" s="1">
        <v>18151.21</v>
      </c>
      <c r="S18" s="1">
        <v>18637.349999999999</v>
      </c>
      <c r="T18" s="1">
        <v>19295.7</v>
      </c>
      <c r="U18" s="1">
        <v>19821.71</v>
      </c>
      <c r="V18" s="1">
        <v>20760.22</v>
      </c>
      <c r="W18" s="1">
        <v>21479.55</v>
      </c>
      <c r="X18" s="1">
        <v>21269.19</v>
      </c>
      <c r="Y18" s="1">
        <v>21338.45</v>
      </c>
      <c r="Z18" s="1">
        <v>21157.3</v>
      </c>
      <c r="AA18" s="1">
        <v>21058.7</v>
      </c>
      <c r="AB18" s="1">
        <v>21586.55</v>
      </c>
      <c r="AC18" s="1">
        <v>21954.29</v>
      </c>
    </row>
    <row r="19" spans="1:29">
      <c r="A19" s="1">
        <f>VLOOKUP(B19,Legend!$C$32:$D$66,2,FALSE)</f>
        <v>52</v>
      </c>
      <c r="B19" s="1" t="s">
        <v>31</v>
      </c>
      <c r="C19" s="1" t="s">
        <v>84</v>
      </c>
      <c r="D19" s="1">
        <v>11680.7</v>
      </c>
      <c r="E19" s="1">
        <v>11610.91</v>
      </c>
      <c r="F19" s="1">
        <v>11756.51</v>
      </c>
      <c r="G19" s="1">
        <v>12301.62</v>
      </c>
      <c r="H19" s="1">
        <v>12624.99</v>
      </c>
      <c r="I19" s="1">
        <v>12746.37</v>
      </c>
      <c r="J19" s="1">
        <v>13113.49</v>
      </c>
      <c r="K19" s="1">
        <v>13493.58</v>
      </c>
      <c r="L19" s="1">
        <v>14239.44</v>
      </c>
      <c r="M19" s="1">
        <v>14743.1</v>
      </c>
      <c r="N19" s="1">
        <v>14939.02</v>
      </c>
      <c r="O19" s="1">
        <v>15691.91</v>
      </c>
      <c r="P19" s="1">
        <v>16407.439999999999</v>
      </c>
      <c r="Q19" s="1">
        <v>16946.740000000002</v>
      </c>
      <c r="R19" s="1">
        <v>17702.37</v>
      </c>
      <c r="S19" s="1">
        <v>18964.88</v>
      </c>
      <c r="T19" s="1">
        <v>19564.75</v>
      </c>
      <c r="U19" s="1">
        <v>20843.23</v>
      </c>
      <c r="V19" s="1">
        <v>21262.43</v>
      </c>
      <c r="W19" s="1">
        <v>21555.360000000001</v>
      </c>
      <c r="X19" s="1">
        <v>21466.1</v>
      </c>
      <c r="Y19" s="1">
        <v>21712.18</v>
      </c>
      <c r="Z19" s="1">
        <v>22187.32</v>
      </c>
      <c r="AA19" s="1">
        <v>22642.74</v>
      </c>
      <c r="AB19" s="1">
        <v>22992.48</v>
      </c>
      <c r="AC19" s="1">
        <v>24150</v>
      </c>
    </row>
    <row r="20" spans="1:29">
      <c r="A20" s="1">
        <f>VLOOKUP(B20,Legend!$C$32:$D$66,2,FALSE)</f>
        <v>53</v>
      </c>
      <c r="B20" s="1" t="s">
        <v>32</v>
      </c>
      <c r="C20" s="1" t="s">
        <v>84</v>
      </c>
      <c r="D20" s="1">
        <v>10469.09</v>
      </c>
      <c r="E20" s="1">
        <v>10799.67</v>
      </c>
      <c r="F20" s="1">
        <v>11205.53</v>
      </c>
      <c r="G20" s="1">
        <v>11435.39</v>
      </c>
      <c r="H20" s="1">
        <v>11835.1</v>
      </c>
      <c r="I20" s="1">
        <v>11949.36</v>
      </c>
      <c r="J20" s="1">
        <v>12540.98</v>
      </c>
      <c r="K20" s="1">
        <v>12884.94</v>
      </c>
      <c r="L20" s="1">
        <v>13379.21</v>
      </c>
      <c r="M20" s="1">
        <v>13684.3</v>
      </c>
      <c r="N20" s="1">
        <v>13963.14</v>
      </c>
      <c r="O20" s="1">
        <v>14244.98</v>
      </c>
      <c r="P20" s="1">
        <v>14669.95</v>
      </c>
      <c r="Q20" s="1">
        <v>15069.63</v>
      </c>
      <c r="R20" s="1">
        <v>15613.95</v>
      </c>
      <c r="S20" s="1">
        <v>16123.17</v>
      </c>
      <c r="T20" s="1">
        <v>16512.689999999999</v>
      </c>
      <c r="U20" s="1">
        <v>17328.87</v>
      </c>
      <c r="V20" s="1">
        <v>17837.810000000001</v>
      </c>
      <c r="W20" s="1">
        <v>18496.009999999998</v>
      </c>
      <c r="X20" s="1">
        <v>18680.64</v>
      </c>
      <c r="Y20" s="1">
        <v>19601.900000000001</v>
      </c>
      <c r="Z20" s="1">
        <v>20341.73</v>
      </c>
      <c r="AA20" s="1">
        <v>20842.3</v>
      </c>
      <c r="AB20" s="1">
        <v>21224.74</v>
      </c>
      <c r="AC20" s="1">
        <v>21967.56</v>
      </c>
    </row>
    <row r="21" spans="1:29">
      <c r="A21" s="1">
        <f>VLOOKUP(B21,Legend!$C$32:$D$66,2,FALSE)</f>
        <v>61</v>
      </c>
      <c r="B21" s="1" t="s">
        <v>24</v>
      </c>
      <c r="C21" s="1" t="s">
        <v>84</v>
      </c>
      <c r="D21" s="1">
        <v>14734.24</v>
      </c>
      <c r="E21" s="1">
        <v>14333.19</v>
      </c>
      <c r="F21" s="1">
        <v>15365.42</v>
      </c>
      <c r="G21" s="1">
        <v>15834.1</v>
      </c>
      <c r="H21" s="1">
        <v>16210.1</v>
      </c>
      <c r="I21" s="1">
        <v>16964.12</v>
      </c>
      <c r="J21" s="1">
        <v>17869.57</v>
      </c>
      <c r="K21" s="1">
        <v>18740.84</v>
      </c>
      <c r="L21" s="1">
        <v>19820.43</v>
      </c>
      <c r="M21" s="1">
        <v>20610.8</v>
      </c>
      <c r="N21" s="1">
        <v>21485.41</v>
      </c>
      <c r="O21" s="1">
        <v>22292.71</v>
      </c>
      <c r="P21" s="1">
        <v>23201.41</v>
      </c>
      <c r="Q21" s="1">
        <v>24401.599999999999</v>
      </c>
      <c r="R21" s="1">
        <v>24967.38</v>
      </c>
      <c r="S21" s="1">
        <v>25571.67</v>
      </c>
      <c r="T21" s="1">
        <v>26618.92</v>
      </c>
      <c r="U21" s="1">
        <v>28357.68</v>
      </c>
      <c r="V21" s="1">
        <v>30209.4</v>
      </c>
      <c r="W21" s="1">
        <v>31956.43</v>
      </c>
      <c r="X21" s="1">
        <v>32371.35</v>
      </c>
      <c r="Y21" s="1">
        <v>33811.57</v>
      </c>
      <c r="Z21" s="1">
        <v>34547.57</v>
      </c>
      <c r="AA21" s="1">
        <v>35108.57</v>
      </c>
      <c r="AB21" s="1">
        <v>36150.730000000003</v>
      </c>
      <c r="AC21" s="1">
        <v>36926.67</v>
      </c>
    </row>
    <row r="22" spans="1:29">
      <c r="A22" s="1">
        <f>VLOOKUP(B22,Legend!$C$32:$D$66,2,FALSE)</f>
        <v>62</v>
      </c>
      <c r="B22" s="1" t="s">
        <v>26</v>
      </c>
      <c r="C22" s="1" t="s">
        <v>84</v>
      </c>
      <c r="D22" s="1">
        <v>11342.89</v>
      </c>
      <c r="E22" s="1">
        <v>11846.56</v>
      </c>
      <c r="F22" s="1">
        <v>11594.9</v>
      </c>
      <c r="G22" s="1">
        <v>12535.97</v>
      </c>
      <c r="H22" s="1">
        <v>12561.59</v>
      </c>
      <c r="I22" s="1">
        <v>12695.63</v>
      </c>
      <c r="J22" s="1">
        <v>13122.8</v>
      </c>
      <c r="K22" s="1">
        <v>13175.81</v>
      </c>
      <c r="L22" s="1">
        <v>13118.8</v>
      </c>
      <c r="M22" s="1">
        <v>13541.43</v>
      </c>
      <c r="N22" s="1">
        <v>13935.36</v>
      </c>
      <c r="O22" s="1">
        <v>14165.41</v>
      </c>
      <c r="P22" s="1">
        <v>14536.58</v>
      </c>
      <c r="Q22" s="1">
        <v>15028.38</v>
      </c>
      <c r="R22" s="1">
        <v>16080.17</v>
      </c>
      <c r="S22" s="1">
        <v>17031.88</v>
      </c>
      <c r="T22" s="1">
        <v>17686.419999999998</v>
      </c>
      <c r="U22" s="1">
        <v>18514.009999999998</v>
      </c>
      <c r="V22" s="1">
        <v>19824.580000000002</v>
      </c>
      <c r="W22" s="1">
        <v>21250.83</v>
      </c>
      <c r="X22" s="1">
        <v>21304.92</v>
      </c>
      <c r="Y22" s="1">
        <v>22073.16</v>
      </c>
      <c r="Z22" s="1">
        <v>22834.25</v>
      </c>
      <c r="AA22" s="1">
        <v>23830.77</v>
      </c>
      <c r="AB22" s="1">
        <v>24138.62</v>
      </c>
      <c r="AC22" s="1">
        <v>25090.12</v>
      </c>
    </row>
    <row r="23" spans="1:29">
      <c r="A23" s="1">
        <f>VLOOKUP(B23,Legend!$C$32:$D$66,2,FALSE)</f>
        <v>63</v>
      </c>
      <c r="B23" s="1" t="s">
        <v>25</v>
      </c>
      <c r="C23" s="1" t="s">
        <v>84</v>
      </c>
      <c r="D23" s="1">
        <v>8386.9</v>
      </c>
      <c r="E23" s="1">
        <v>9058.77</v>
      </c>
      <c r="F23" s="1">
        <v>9309.4500000000007</v>
      </c>
      <c r="G23" s="1">
        <v>9585.57</v>
      </c>
      <c r="H23" s="1">
        <v>10161.950000000001</v>
      </c>
      <c r="I23" s="1">
        <v>10680.79</v>
      </c>
      <c r="J23" s="1">
        <v>11182.38</v>
      </c>
      <c r="K23" s="1">
        <v>11822.1</v>
      </c>
      <c r="L23" s="1">
        <v>12618.34</v>
      </c>
      <c r="M23" s="1">
        <v>13419.22</v>
      </c>
      <c r="N23" s="1">
        <v>13701.55</v>
      </c>
      <c r="O23" s="1">
        <v>14052.46</v>
      </c>
      <c r="P23" s="1">
        <v>14490.15</v>
      </c>
      <c r="Q23" s="1">
        <v>14967.33</v>
      </c>
      <c r="R23" s="1">
        <v>15636.19</v>
      </c>
      <c r="S23" s="1">
        <v>16013.3</v>
      </c>
      <c r="T23" s="1">
        <v>16600.740000000002</v>
      </c>
      <c r="U23" s="1">
        <v>17280.419999999998</v>
      </c>
      <c r="V23" s="1">
        <v>17925.11</v>
      </c>
      <c r="W23" s="1">
        <v>18568.23</v>
      </c>
      <c r="X23" s="1">
        <v>18399.41</v>
      </c>
      <c r="Y23" s="1">
        <v>18614.34</v>
      </c>
      <c r="Z23" s="1">
        <v>18911.080000000002</v>
      </c>
      <c r="AA23" s="1">
        <v>19537.28</v>
      </c>
      <c r="AB23" s="1">
        <v>20350.73</v>
      </c>
      <c r="AC23" s="1">
        <v>21717.59</v>
      </c>
    </row>
    <row r="24" spans="1:29">
      <c r="A24" s="1">
        <f>VLOOKUP(B24,Legend!$C$32:$D$66,2,FALSE)</f>
        <v>64</v>
      </c>
      <c r="B24" s="1" t="s">
        <v>27</v>
      </c>
      <c r="C24" s="1" t="s">
        <v>84</v>
      </c>
      <c r="D24" s="1">
        <v>16282.68</v>
      </c>
      <c r="E24" s="1">
        <v>16580.669999999998</v>
      </c>
      <c r="F24" s="1">
        <v>17030</v>
      </c>
      <c r="G24" s="1">
        <v>17214.66</v>
      </c>
      <c r="H24" s="1">
        <v>17708.7</v>
      </c>
      <c r="I24" s="1">
        <v>18161.03</v>
      </c>
      <c r="J24" s="1">
        <v>18806.2</v>
      </c>
      <c r="K24" s="1">
        <v>19141.98</v>
      </c>
      <c r="L24" s="1">
        <v>19698.740000000002</v>
      </c>
      <c r="M24" s="1">
        <v>19993.009999999998</v>
      </c>
      <c r="N24" s="1">
        <v>21167.77</v>
      </c>
      <c r="O24" s="1">
        <v>22292.61</v>
      </c>
      <c r="P24" s="1">
        <v>23991.79</v>
      </c>
      <c r="Q24" s="1">
        <v>25535.67</v>
      </c>
      <c r="R24" s="1">
        <v>27267.200000000001</v>
      </c>
      <c r="S24" s="1">
        <v>28506.91</v>
      </c>
      <c r="T24" s="1">
        <v>28639.4</v>
      </c>
      <c r="U24" s="1">
        <v>30261.4</v>
      </c>
      <c r="V24" s="1">
        <v>32140.16</v>
      </c>
      <c r="W24" s="1">
        <v>33355.19</v>
      </c>
      <c r="X24" s="1">
        <v>33026.69</v>
      </c>
      <c r="Y24" s="1">
        <v>33003.9</v>
      </c>
      <c r="Z24" s="1">
        <v>33712.58</v>
      </c>
      <c r="AA24" s="1">
        <v>34551.18</v>
      </c>
      <c r="AB24" s="1">
        <v>35368.75</v>
      </c>
      <c r="AC24" s="1">
        <v>38094.43</v>
      </c>
    </row>
    <row r="25" spans="1:29">
      <c r="A25" s="1">
        <f>VLOOKUP(B25,Legend!$C$32:$D$66,2,FALSE)</f>
        <v>65</v>
      </c>
      <c r="B25" s="1" t="s">
        <v>46</v>
      </c>
      <c r="C25" s="1" t="s">
        <v>84</v>
      </c>
      <c r="N25" s="1">
        <v>6235.36</v>
      </c>
      <c r="O25" s="1">
        <v>6676.56</v>
      </c>
      <c r="P25" s="1">
        <v>7130</v>
      </c>
      <c r="Q25" s="1">
        <v>7496.93</v>
      </c>
      <c r="R25" s="1">
        <v>8021.34</v>
      </c>
      <c r="S25" s="1">
        <v>8574.02</v>
      </c>
      <c r="T25" s="1">
        <v>9022</v>
      </c>
      <c r="U25" s="1">
        <v>9423</v>
      </c>
      <c r="V25" s="1">
        <v>9941.19</v>
      </c>
      <c r="W25" s="1">
        <v>10475.64</v>
      </c>
      <c r="X25" s="1">
        <v>10925.64</v>
      </c>
      <c r="Y25" s="1">
        <v>11300.51</v>
      </c>
      <c r="Z25" s="1">
        <v>11723.08</v>
      </c>
      <c r="AA25" s="1">
        <v>12229.92</v>
      </c>
      <c r="AB25" s="1">
        <v>12444.24</v>
      </c>
      <c r="AC25" s="1">
        <v>12767.3</v>
      </c>
    </row>
    <row r="26" spans="1:29">
      <c r="A26" s="1">
        <f>VLOOKUP(B26,Legend!$C$32:$D$66,2,FALSE)</f>
        <v>71</v>
      </c>
      <c r="B26" s="1" t="s">
        <v>38</v>
      </c>
      <c r="C26" s="1" t="s">
        <v>84</v>
      </c>
      <c r="D26" s="1">
        <v>7667.12</v>
      </c>
      <c r="E26" s="1">
        <v>7964.89</v>
      </c>
      <c r="F26" s="1">
        <v>8320.34</v>
      </c>
      <c r="G26" s="1">
        <v>8392.9599999999991</v>
      </c>
      <c r="H26" s="1">
        <v>8947.76</v>
      </c>
      <c r="I26" s="1">
        <v>9497.69</v>
      </c>
      <c r="J26" s="1">
        <v>9740.67</v>
      </c>
      <c r="K26" s="1">
        <v>10479.52</v>
      </c>
      <c r="L26" s="1">
        <v>11089.02</v>
      </c>
      <c r="M26" s="1">
        <v>11318.59</v>
      </c>
      <c r="N26" s="1">
        <v>12281.01</v>
      </c>
      <c r="O26" s="1">
        <v>12154.19</v>
      </c>
      <c r="P26" s="1">
        <v>12918.08</v>
      </c>
      <c r="Q26" s="1">
        <v>13765.3</v>
      </c>
      <c r="R26" s="1">
        <v>14243.12</v>
      </c>
      <c r="S26" s="1">
        <v>14605.52</v>
      </c>
      <c r="T26" s="1">
        <v>15141.89</v>
      </c>
      <c r="U26" s="1">
        <v>15814.32</v>
      </c>
      <c r="V26" s="1">
        <v>16367.26</v>
      </c>
      <c r="W26" s="1">
        <v>17320.48</v>
      </c>
      <c r="X26" s="1">
        <v>17705.45</v>
      </c>
      <c r="Y26" s="1">
        <v>18040.14</v>
      </c>
      <c r="Z26" s="1">
        <v>19187.16</v>
      </c>
      <c r="AA26" s="1">
        <v>20036.330000000002</v>
      </c>
      <c r="AB26" s="1">
        <v>21113.98</v>
      </c>
      <c r="AC26" s="1">
        <v>22337.200000000001</v>
      </c>
    </row>
    <row r="27" spans="1:29">
      <c r="A27" s="1">
        <f>VLOOKUP(B27,Legend!$C$32:$D$66,2,FALSE)</f>
        <v>72</v>
      </c>
      <c r="B27" s="1" t="s">
        <v>36</v>
      </c>
      <c r="C27" s="1" t="s">
        <v>84</v>
      </c>
      <c r="D27" s="1">
        <v>10450.93</v>
      </c>
      <c r="E27" s="1">
        <v>11123.93</v>
      </c>
      <c r="F27" s="1">
        <v>11885.49</v>
      </c>
      <c r="G27" s="1">
        <v>12772.13</v>
      </c>
      <c r="H27" s="1">
        <v>13766.84</v>
      </c>
      <c r="I27" s="1">
        <v>14650.9</v>
      </c>
      <c r="J27" s="1">
        <v>15448.99</v>
      </c>
      <c r="K27" s="1">
        <v>16550.240000000002</v>
      </c>
      <c r="L27" s="1">
        <v>17312.7</v>
      </c>
      <c r="M27" s="1">
        <v>18419.21</v>
      </c>
      <c r="N27" s="1">
        <v>19523.490000000002</v>
      </c>
      <c r="O27" s="1">
        <v>20711.36</v>
      </c>
      <c r="P27" s="1">
        <v>21923.49</v>
      </c>
      <c r="Q27" s="1">
        <v>23163.93</v>
      </c>
      <c r="R27" s="1">
        <v>24728.720000000001</v>
      </c>
      <c r="S27" s="1">
        <v>26297.82</v>
      </c>
      <c r="T27" s="1">
        <v>26929.49</v>
      </c>
      <c r="U27" s="1">
        <v>28131.33</v>
      </c>
      <c r="V27" s="1">
        <v>29340.85</v>
      </c>
      <c r="W27" s="1">
        <v>29995.99</v>
      </c>
      <c r="X27" s="1">
        <v>29593.65</v>
      </c>
      <c r="Y27" s="1">
        <v>30793.119999999999</v>
      </c>
      <c r="Z27" s="1">
        <v>31639.57</v>
      </c>
      <c r="AA27" s="1">
        <v>32224.74</v>
      </c>
      <c r="AB27" s="1">
        <v>32848.019999999997</v>
      </c>
      <c r="AC27" s="1">
        <v>34309.75</v>
      </c>
    </row>
    <row r="28" spans="1:29">
      <c r="A28" s="1">
        <f>VLOOKUP(B28,Legend!$C$32:$D$66,2,FALSE)</f>
        <v>73</v>
      </c>
      <c r="B28" s="1" t="s">
        <v>35</v>
      </c>
      <c r="C28" s="1" t="s">
        <v>84</v>
      </c>
      <c r="D28" s="1">
        <v>33353.51</v>
      </c>
      <c r="E28" s="1">
        <v>33671.01</v>
      </c>
      <c r="F28" s="1">
        <v>35218.730000000003</v>
      </c>
      <c r="G28" s="1">
        <v>35478.6</v>
      </c>
      <c r="H28" s="1">
        <v>35240.910000000003</v>
      </c>
      <c r="I28" s="1">
        <v>32427.95</v>
      </c>
      <c r="J28" s="1">
        <v>33757.980000000003</v>
      </c>
      <c r="K28" s="1">
        <v>34842.74</v>
      </c>
      <c r="L28" s="1">
        <v>36963.89</v>
      </c>
      <c r="M28" s="1">
        <v>38695.1</v>
      </c>
      <c r="N28" s="1">
        <v>39598.910000000003</v>
      </c>
      <c r="O28" s="1">
        <v>42325.57</v>
      </c>
      <c r="P28" s="1">
        <v>44263.48</v>
      </c>
      <c r="Q28" s="1">
        <v>46446.73</v>
      </c>
      <c r="R28" s="1">
        <v>51101.68</v>
      </c>
      <c r="S28" s="1">
        <v>54099.1</v>
      </c>
      <c r="T28" s="1">
        <v>58351.27</v>
      </c>
      <c r="U28" s="1">
        <v>61597.2</v>
      </c>
      <c r="V28" s="1">
        <v>64815.46</v>
      </c>
      <c r="W28" s="1">
        <v>66615.94</v>
      </c>
      <c r="X28" s="1">
        <v>66139.899999999994</v>
      </c>
      <c r="Y28" s="1">
        <v>70357.8</v>
      </c>
      <c r="Z28" s="1">
        <v>72162.73</v>
      </c>
      <c r="AA28" s="1">
        <v>72226.31</v>
      </c>
      <c r="AB28" s="1">
        <v>75166.740000000005</v>
      </c>
      <c r="AC28" s="1">
        <v>80474.87</v>
      </c>
    </row>
    <row r="29" spans="1:29">
      <c r="A29" s="1">
        <f>VLOOKUP(B29,Legend!$C$32:$D$66,2,FALSE)</f>
        <v>74</v>
      </c>
      <c r="B29" s="1" t="s">
        <v>37</v>
      </c>
      <c r="C29" s="1" t="s">
        <v>84</v>
      </c>
      <c r="D29" s="1">
        <v>8231.6200000000008</v>
      </c>
      <c r="E29" s="1">
        <v>8673.44</v>
      </c>
      <c r="F29" s="1">
        <v>9302.7199999999993</v>
      </c>
      <c r="G29" s="1">
        <v>9875.0400000000009</v>
      </c>
      <c r="H29" s="1">
        <v>10649.04</v>
      </c>
      <c r="I29" s="1">
        <v>11385.14</v>
      </c>
      <c r="J29" s="1">
        <v>11905.93</v>
      </c>
      <c r="K29" s="1">
        <v>12572.51</v>
      </c>
      <c r="L29" s="1">
        <v>13205.9</v>
      </c>
      <c r="M29" s="1">
        <v>13566.97</v>
      </c>
      <c r="N29" s="1">
        <v>13741.14</v>
      </c>
      <c r="O29" s="1">
        <v>14007.46</v>
      </c>
      <c r="P29" s="1">
        <v>14625.41</v>
      </c>
      <c r="Q29" s="1">
        <v>15508.22</v>
      </c>
      <c r="R29" s="1">
        <v>16952.310000000001</v>
      </c>
      <c r="S29" s="1">
        <v>16970.46</v>
      </c>
      <c r="T29" s="1">
        <v>18270.18</v>
      </c>
      <c r="U29" s="1">
        <v>19323.259999999998</v>
      </c>
      <c r="V29" s="1">
        <v>20554.63</v>
      </c>
      <c r="W29" s="1">
        <v>21581.03</v>
      </c>
      <c r="X29" s="1">
        <v>21728.37</v>
      </c>
      <c r="Y29" s="1">
        <v>22247.11</v>
      </c>
      <c r="Z29" s="1">
        <v>23754.98</v>
      </c>
      <c r="AA29" s="1">
        <v>24779.74</v>
      </c>
      <c r="AB29" s="1">
        <v>25734.91</v>
      </c>
      <c r="AC29" s="1">
        <v>26698.67</v>
      </c>
    </row>
    <row r="30" spans="1:29">
      <c r="A30" s="1">
        <f>VLOOKUP(B30,Legend!$C$32:$D$66,2,FALSE)</f>
        <v>75</v>
      </c>
      <c r="B30" s="1" t="s">
        <v>12</v>
      </c>
      <c r="C30" s="1" t="s">
        <v>84</v>
      </c>
      <c r="D30" s="1">
        <v>3287.79</v>
      </c>
      <c r="E30" s="1">
        <v>3519.47</v>
      </c>
      <c r="F30" s="1">
        <v>3826.86</v>
      </c>
      <c r="G30" s="1">
        <v>3998.73</v>
      </c>
      <c r="H30" s="1">
        <v>4125.1400000000003</v>
      </c>
      <c r="I30" s="1">
        <v>4432.57</v>
      </c>
      <c r="J30" s="1">
        <v>4784.47</v>
      </c>
      <c r="K30" s="1">
        <v>5134.78</v>
      </c>
      <c r="L30" s="1">
        <v>5548.66</v>
      </c>
      <c r="M30" s="1">
        <v>5742.5</v>
      </c>
      <c r="N30" s="1">
        <v>5977.73</v>
      </c>
      <c r="O30" s="1">
        <v>6321.23</v>
      </c>
      <c r="P30" s="1">
        <v>6763.85</v>
      </c>
      <c r="Q30" s="1">
        <v>7232.59</v>
      </c>
      <c r="R30" s="1">
        <v>7698.32</v>
      </c>
      <c r="S30" s="1">
        <v>8024.61</v>
      </c>
      <c r="T30" s="1">
        <v>8540.36</v>
      </c>
      <c r="U30" s="1">
        <v>9314.3700000000008</v>
      </c>
      <c r="V30" s="1">
        <v>10019.049999999999</v>
      </c>
      <c r="W30" s="1">
        <v>10652.83</v>
      </c>
      <c r="X30" s="1">
        <v>10478.780000000001</v>
      </c>
      <c r="Y30" s="1">
        <v>10663.64</v>
      </c>
      <c r="Z30" s="1">
        <v>10907.95</v>
      </c>
      <c r="AA30" s="1">
        <v>11365.5</v>
      </c>
      <c r="AB30" s="1">
        <v>11719.48</v>
      </c>
      <c r="AC30" s="1">
        <v>12205.24</v>
      </c>
    </row>
    <row r="31" spans="1:29">
      <c r="A31" s="1">
        <f>VLOOKUP(B31,Legend!$C$32:$D$66,2,FALSE)</f>
        <v>76</v>
      </c>
      <c r="B31" s="1" t="s">
        <v>34</v>
      </c>
      <c r="C31" s="1" t="s">
        <v>84</v>
      </c>
      <c r="H31" s="1">
        <v>5507.7224354460086</v>
      </c>
      <c r="I31" s="1">
        <v>5684.53</v>
      </c>
      <c r="J31" s="1">
        <v>5934.41</v>
      </c>
      <c r="K31" s="1">
        <v>6146.94</v>
      </c>
      <c r="L31" s="1">
        <v>6338.3</v>
      </c>
      <c r="M31" s="1">
        <v>6535.66</v>
      </c>
      <c r="N31" s="1">
        <v>7486.61</v>
      </c>
      <c r="O31" s="1">
        <v>8115.11</v>
      </c>
      <c r="P31" s="1">
        <v>8709.5</v>
      </c>
      <c r="Q31" s="1">
        <v>9207.15</v>
      </c>
      <c r="R31" s="1">
        <v>9753.26</v>
      </c>
      <c r="S31" s="1">
        <v>10313.540000000001</v>
      </c>
      <c r="T31" s="1">
        <v>10734.08</v>
      </c>
      <c r="U31" s="1">
        <v>11433.15</v>
      </c>
      <c r="V31" s="1">
        <v>12131.88</v>
      </c>
      <c r="W31" s="1">
        <v>12692.97</v>
      </c>
      <c r="X31" s="1">
        <v>12761.98</v>
      </c>
      <c r="Y31" s="1">
        <v>12910.29</v>
      </c>
      <c r="Z31" s="1">
        <v>13342.96</v>
      </c>
      <c r="AA31" s="1">
        <v>13878.49</v>
      </c>
      <c r="AB31" s="1">
        <v>14541.57</v>
      </c>
      <c r="AC31" s="1">
        <v>15421.69</v>
      </c>
    </row>
    <row r="32" spans="1:29">
      <c r="A32" s="1">
        <f>VLOOKUP(B32,Legend!$C$32:$D$66,2,FALSE)</f>
        <v>81</v>
      </c>
      <c r="B32" s="1" t="s">
        <v>13</v>
      </c>
      <c r="C32" s="1" t="s">
        <v>84</v>
      </c>
      <c r="D32" s="1">
        <v>3670.3</v>
      </c>
      <c r="E32" s="1">
        <v>3627.36</v>
      </c>
      <c r="F32" s="1">
        <v>3663.05</v>
      </c>
      <c r="G32" s="1">
        <v>3734.53</v>
      </c>
      <c r="H32" s="1">
        <v>3839.09</v>
      </c>
      <c r="I32" s="1">
        <v>3978.62</v>
      </c>
      <c r="J32" s="1">
        <v>4096.7299999999996</v>
      </c>
      <c r="K32" s="1">
        <v>4265.79</v>
      </c>
      <c r="L32" s="1">
        <v>4388.96</v>
      </c>
      <c r="M32" s="1">
        <v>4567.08</v>
      </c>
      <c r="N32" s="1">
        <v>4825.72</v>
      </c>
      <c r="O32" s="1">
        <v>4972.6000000000004</v>
      </c>
      <c r="P32" s="1">
        <v>5282.61</v>
      </c>
      <c r="Q32" s="1">
        <v>5500.92</v>
      </c>
      <c r="R32" s="1">
        <v>5835.44</v>
      </c>
      <c r="S32" s="1">
        <v>5908.36</v>
      </c>
      <c r="T32" s="1">
        <v>6188.01</v>
      </c>
      <c r="U32" s="1">
        <v>6558.6</v>
      </c>
      <c r="V32" s="1">
        <v>6858.55</v>
      </c>
      <c r="W32" s="1">
        <v>7230.24</v>
      </c>
      <c r="X32" s="1">
        <v>7353.71</v>
      </c>
      <c r="Y32" s="1">
        <v>7409.16</v>
      </c>
      <c r="Z32" s="1">
        <v>7833.24</v>
      </c>
      <c r="AA32" s="1">
        <v>8276.73</v>
      </c>
      <c r="AB32" s="1">
        <v>8557.59</v>
      </c>
      <c r="AC32" s="1">
        <v>9106.61</v>
      </c>
    </row>
    <row r="33" spans="1:29">
      <c r="A33" s="1">
        <f>VLOOKUP(B33,Legend!$C$32:$D$66,2,FALSE)</f>
        <v>82</v>
      </c>
      <c r="B33" s="1" t="s">
        <v>30</v>
      </c>
      <c r="C33" s="1" t="s">
        <v>84</v>
      </c>
      <c r="D33" s="1">
        <v>2514.56</v>
      </c>
      <c r="E33" s="1">
        <v>2562.4899999999998</v>
      </c>
      <c r="F33" s="1">
        <v>2645.37</v>
      </c>
      <c r="G33" s="1">
        <v>2768.44</v>
      </c>
      <c r="H33" s="1">
        <v>2848.76</v>
      </c>
      <c r="I33" s="1">
        <v>2974.86</v>
      </c>
      <c r="J33" s="1">
        <v>3116.28</v>
      </c>
      <c r="K33" s="1">
        <v>4102.26</v>
      </c>
      <c r="L33" s="1">
        <v>3936.69</v>
      </c>
      <c r="M33" s="1">
        <v>3739.01</v>
      </c>
      <c r="N33" s="1">
        <v>3936.69</v>
      </c>
      <c r="O33" s="1">
        <v>4105.5600000000004</v>
      </c>
      <c r="P33" s="1">
        <v>4371.3599999999997</v>
      </c>
      <c r="Q33" s="1">
        <v>4525.96</v>
      </c>
      <c r="R33" s="1">
        <v>4662.5</v>
      </c>
      <c r="S33" s="1">
        <v>4742.55</v>
      </c>
      <c r="T33" s="1">
        <v>4943.91</v>
      </c>
      <c r="U33" s="1">
        <v>5100.3900000000003</v>
      </c>
      <c r="V33" s="1">
        <v>5305.88</v>
      </c>
      <c r="W33" s="1">
        <v>5518.06</v>
      </c>
      <c r="X33" s="1">
        <v>5594.84</v>
      </c>
      <c r="Y33" s="1">
        <v>5727.23</v>
      </c>
      <c r="Z33" s="1">
        <v>5911.57</v>
      </c>
      <c r="AA33" s="1">
        <v>6162.71</v>
      </c>
      <c r="AB33" s="1">
        <v>6440.92</v>
      </c>
      <c r="AC33" s="1">
        <v>6646.89</v>
      </c>
    </row>
    <row r="34" spans="1:29">
      <c r="A34" s="1">
        <f>VLOOKUP(B34,Legend!$C$32:$D$66,2,FALSE)</f>
        <v>91</v>
      </c>
      <c r="B34" s="1" t="s">
        <v>33</v>
      </c>
      <c r="C34" s="1" t="s">
        <v>84</v>
      </c>
      <c r="F34" s="1">
        <v>3429.79</v>
      </c>
      <c r="G34" s="1">
        <v>3603.52</v>
      </c>
      <c r="H34" s="1">
        <v>3744.32</v>
      </c>
      <c r="I34" s="1">
        <v>3821.22</v>
      </c>
      <c r="J34" s="1">
        <v>3946.88</v>
      </c>
      <c r="K34" s="1">
        <v>4152.88</v>
      </c>
      <c r="L34" s="1">
        <v>4439.1400000000003</v>
      </c>
      <c r="M34" s="1">
        <v>4609.1400000000003</v>
      </c>
      <c r="N34" s="1">
        <v>4889.5600000000004</v>
      </c>
      <c r="O34" s="1">
        <v>4583.1899999999996</v>
      </c>
      <c r="P34" s="1">
        <v>4785.62</v>
      </c>
      <c r="Q34" s="1">
        <v>5090.42</v>
      </c>
      <c r="R34" s="1">
        <v>5343.52</v>
      </c>
      <c r="S34" s="1">
        <v>5482.57</v>
      </c>
      <c r="T34" s="1">
        <v>5598.84</v>
      </c>
      <c r="U34" s="1">
        <v>5926.64</v>
      </c>
      <c r="V34" s="1">
        <v>6058.67</v>
      </c>
      <c r="W34" s="1">
        <v>6273.1</v>
      </c>
      <c r="X34" s="1">
        <v>6122.47</v>
      </c>
      <c r="Y34" s="1">
        <v>6182.41</v>
      </c>
      <c r="Z34" s="1">
        <v>6199.07</v>
      </c>
      <c r="AA34" s="1">
        <v>6138.58</v>
      </c>
      <c r="AB34" s="1">
        <v>6159.84</v>
      </c>
      <c r="AC34" s="1">
        <v>6351.07</v>
      </c>
    </row>
    <row r="35" spans="1:29">
      <c r="A35" s="1">
        <f>VLOOKUP(B35,Legend!$C$32:$D$66,2,FALSE)</f>
        <v>94</v>
      </c>
      <c r="B35" s="1" t="s">
        <v>14</v>
      </c>
      <c r="C35" s="1" t="s">
        <v>84</v>
      </c>
      <c r="D35" s="1">
        <v>11391.95</v>
      </c>
      <c r="E35" s="1">
        <v>12512.43</v>
      </c>
      <c r="F35" s="1">
        <v>8854.27</v>
      </c>
      <c r="G35" s="1">
        <v>9280.6200000000008</v>
      </c>
      <c r="H35" s="1">
        <v>9223.4699999999993</v>
      </c>
      <c r="I35" s="1">
        <v>9668.39</v>
      </c>
      <c r="J35" s="1">
        <v>10171.16</v>
      </c>
      <c r="K35" s="1">
        <v>10309.74</v>
      </c>
      <c r="L35" s="1">
        <v>10793.27</v>
      </c>
      <c r="M35" s="1">
        <v>11248.9</v>
      </c>
      <c r="N35" s="1">
        <v>11681.13</v>
      </c>
      <c r="O35" s="1">
        <v>12133.26</v>
      </c>
      <c r="P35" s="1">
        <v>12883.7</v>
      </c>
      <c r="Q35" s="1">
        <v>13661.8</v>
      </c>
      <c r="R35" s="1">
        <v>14432.99</v>
      </c>
      <c r="S35" s="1">
        <v>15192.6</v>
      </c>
      <c r="T35" s="1">
        <v>15461.69</v>
      </c>
      <c r="U35" s="1">
        <v>16070.49</v>
      </c>
      <c r="V35" s="1">
        <v>16602.560000000001</v>
      </c>
      <c r="W35" s="1">
        <v>16608.11</v>
      </c>
      <c r="X35" s="1">
        <v>16490.61</v>
      </c>
      <c r="Y35" s="1">
        <v>16755.830000000002</v>
      </c>
      <c r="Z35" s="1">
        <v>27384.440000000002</v>
      </c>
      <c r="AA35" s="1">
        <v>17526.160000000003</v>
      </c>
      <c r="AB35" s="1">
        <v>17793.550000000003</v>
      </c>
      <c r="AC35" s="1">
        <v>18502.599999999999</v>
      </c>
    </row>
    <row r="36" spans="1:29">
      <c r="A36" s="1">
        <f>VLOOKUP(B36,Legend!$C$32:$D$66,2,FALSE)</f>
        <v>11</v>
      </c>
      <c r="B36" s="1" t="s">
        <v>3</v>
      </c>
      <c r="C36" s="1" t="s">
        <v>87</v>
      </c>
      <c r="D36" s="1">
        <v>126799.826830491</v>
      </c>
      <c r="E36" s="1">
        <v>120175.903975696</v>
      </c>
      <c r="F36" s="1">
        <v>136014.134696386</v>
      </c>
      <c r="G36" s="1">
        <v>139803.404049809</v>
      </c>
      <c r="H36" s="1">
        <v>113537.389050057</v>
      </c>
      <c r="I36" s="1">
        <v>79008.044526627695</v>
      </c>
      <c r="J36" s="1">
        <v>68539.979341567407</v>
      </c>
      <c r="K36" s="1">
        <v>70084.721041287703</v>
      </c>
      <c r="L36" s="1">
        <v>66412.570602564199</v>
      </c>
      <c r="M36" s="1">
        <v>52053.677382318303</v>
      </c>
      <c r="N36" s="1">
        <v>48794.255389999998</v>
      </c>
      <c r="O36" s="1">
        <v>48189.04075</v>
      </c>
      <c r="P36" s="1">
        <v>49148.162300000004</v>
      </c>
      <c r="Q36" s="1">
        <v>48786.604460000002</v>
      </c>
      <c r="R36" s="1">
        <v>47198.272219999999</v>
      </c>
      <c r="S36" s="1">
        <v>45570.601840000003</v>
      </c>
      <c r="T36" s="1">
        <v>46196.34304</v>
      </c>
      <c r="U36" s="1">
        <v>50893.46716</v>
      </c>
      <c r="V36" s="1">
        <v>52747.141069999998</v>
      </c>
      <c r="W36" s="1">
        <v>52517.085650000001</v>
      </c>
      <c r="X36" s="1">
        <v>52072.394079999998</v>
      </c>
      <c r="Y36" s="1">
        <v>54937.197699999997</v>
      </c>
      <c r="Z36" s="1">
        <v>68395.63</v>
      </c>
      <c r="AA36" s="1">
        <v>76810.850000000006</v>
      </c>
      <c r="AB36" s="1">
        <v>81753.39</v>
      </c>
      <c r="AC36" s="1">
        <v>88632.84</v>
      </c>
    </row>
    <row r="37" spans="1:29">
      <c r="A37" s="1">
        <f>VLOOKUP(B37,Legend!$C$32:$D$66,2,FALSE)</f>
        <v>12</v>
      </c>
      <c r="B37" s="1" t="s">
        <v>41</v>
      </c>
      <c r="C37" s="1" t="s">
        <v>87</v>
      </c>
      <c r="D37" s="1">
        <v>66631.126518903897</v>
      </c>
      <c r="E37" s="1">
        <v>75113.062711715495</v>
      </c>
      <c r="F37" s="1">
        <v>76998.671691422904</v>
      </c>
      <c r="G37" s="1">
        <v>80887.252120138699</v>
      </c>
      <c r="H37" s="1">
        <v>99141.186651552795</v>
      </c>
      <c r="I37" s="1">
        <v>105554.936056256</v>
      </c>
      <c r="J37" s="1">
        <v>101650.592410254</v>
      </c>
      <c r="K37" s="1">
        <v>111052.666570139</v>
      </c>
      <c r="L37" s="1">
        <v>122585.85203570301</v>
      </c>
      <c r="M37" s="1">
        <v>121424.194060436</v>
      </c>
      <c r="N37" s="1">
        <v>133920.52807999999</v>
      </c>
      <c r="O37" s="1">
        <v>155912.63641000001</v>
      </c>
      <c r="P37" s="1">
        <v>159278.56396999999</v>
      </c>
      <c r="Q37" s="1">
        <v>178463.31683</v>
      </c>
      <c r="R37" s="1">
        <v>191872.58077999999</v>
      </c>
      <c r="S37" s="1">
        <v>189848.61666</v>
      </c>
      <c r="T37" s="1">
        <v>194929.51069</v>
      </c>
      <c r="U37" s="1">
        <v>208689.47859000001</v>
      </c>
      <c r="V37" s="1">
        <v>222718.55575999999</v>
      </c>
      <c r="W37" s="1">
        <v>218152.12602</v>
      </c>
      <c r="X37" s="1">
        <v>195680.30643999999</v>
      </c>
      <c r="Y37" s="1">
        <v>223930.56445999999</v>
      </c>
      <c r="Z37" s="1">
        <v>249627.86583</v>
      </c>
      <c r="AA37" s="1">
        <v>248219.13</v>
      </c>
      <c r="AB37" s="1">
        <v>276532.14</v>
      </c>
    </row>
    <row r="38" spans="1:29">
      <c r="A38" s="1">
        <f>VLOOKUP(B38,Legend!$C$32:$D$66,2,FALSE)</f>
        <v>13</v>
      </c>
      <c r="B38" s="1" t="s">
        <v>39</v>
      </c>
      <c r="C38" s="1" t="s">
        <v>87</v>
      </c>
      <c r="D38" s="1">
        <v>14680.4106507628</v>
      </c>
      <c r="E38" s="1">
        <v>15000.7398292941</v>
      </c>
      <c r="F38" s="1">
        <v>17739.3275622375</v>
      </c>
      <c r="G38" s="1">
        <v>20748.063654057602</v>
      </c>
      <c r="H38" s="1">
        <v>26849.193283453998</v>
      </c>
      <c r="I38" s="1">
        <v>32540.887588301499</v>
      </c>
      <c r="J38" s="1">
        <v>38468.563569876402</v>
      </c>
      <c r="K38" s="1">
        <v>49587.428895006298</v>
      </c>
      <c r="L38" s="1">
        <v>60625.807080385101</v>
      </c>
      <c r="M38" s="1">
        <v>61706.852329306697</v>
      </c>
      <c r="N38" s="1">
        <v>72018.538440000004</v>
      </c>
      <c r="O38" s="1">
        <v>81016.293350000007</v>
      </c>
      <c r="P38" s="1">
        <v>132872.01394</v>
      </c>
      <c r="Q38" s="1">
        <v>58747.115830000002</v>
      </c>
      <c r="R38" s="1">
        <v>98028.052760000006</v>
      </c>
      <c r="S38" s="1">
        <v>91332.178780000002</v>
      </c>
      <c r="T38" s="1">
        <v>92501.782370000001</v>
      </c>
      <c r="U38" s="1">
        <v>99153.079469999997</v>
      </c>
      <c r="V38" s="1">
        <v>104226.87239</v>
      </c>
      <c r="W38" s="1">
        <v>106852.60068</v>
      </c>
      <c r="X38" s="1">
        <v>88163.433720000001</v>
      </c>
      <c r="Y38" s="1">
        <v>92692.873080000005</v>
      </c>
      <c r="Z38" s="1">
        <v>98839.35</v>
      </c>
      <c r="AA38" s="1">
        <v>106870.42</v>
      </c>
      <c r="AB38" s="1">
        <v>122494.07</v>
      </c>
    </row>
    <row r="39" spans="1:29">
      <c r="A39" s="1">
        <f>VLOOKUP(B39,Legend!$C$32:$D$66,2,FALSE)</f>
        <v>14</v>
      </c>
      <c r="B39" s="1" t="s">
        <v>4</v>
      </c>
      <c r="C39" s="1" t="s">
        <v>87</v>
      </c>
      <c r="D39" s="1">
        <v>227774.34193090801</v>
      </c>
      <c r="E39" s="1">
        <v>335229.78614051797</v>
      </c>
      <c r="F39" s="1">
        <v>289578.70316265902</v>
      </c>
      <c r="G39" s="1">
        <v>186245.16044384899</v>
      </c>
      <c r="H39" s="1">
        <v>189927.09540094901</v>
      </c>
      <c r="I39" s="1">
        <v>199143.25171774</v>
      </c>
      <c r="J39" s="1">
        <v>207868.62157182299</v>
      </c>
      <c r="K39" s="1">
        <v>220898.35232153299</v>
      </c>
      <c r="L39" s="1">
        <v>235674.78458427399</v>
      </c>
      <c r="M39" s="1">
        <v>226771.23916648401</v>
      </c>
      <c r="N39" s="1">
        <v>229801.07292999999</v>
      </c>
      <c r="O39" s="1">
        <v>268075.13397999998</v>
      </c>
      <c r="P39" s="1">
        <v>293195.74098</v>
      </c>
      <c r="Q39" s="1">
        <v>285085.39007000002</v>
      </c>
      <c r="R39" s="1">
        <v>242929.36048999999</v>
      </c>
      <c r="S39" s="1">
        <v>200076.97919000001</v>
      </c>
      <c r="T39" s="1">
        <v>179832.75919000001</v>
      </c>
      <c r="U39" s="1">
        <v>205304.96156</v>
      </c>
      <c r="V39" s="1">
        <v>209526.11095</v>
      </c>
      <c r="W39" s="1">
        <v>213493.49007</v>
      </c>
      <c r="X39" s="1">
        <v>225753.45183000001</v>
      </c>
      <c r="Y39" s="1">
        <v>289376.87709000002</v>
      </c>
      <c r="Z39" s="1">
        <v>336936.21</v>
      </c>
      <c r="AA39" s="1">
        <v>347466.91</v>
      </c>
      <c r="AB39" s="1">
        <v>353960.03</v>
      </c>
    </row>
    <row r="40" spans="1:29">
      <c r="A40" s="1">
        <f>VLOOKUP(B40,Legend!$C$32:$D$66,2,FALSE)</f>
        <v>15</v>
      </c>
      <c r="B40" s="1" t="s">
        <v>5</v>
      </c>
      <c r="C40" s="1" t="s">
        <v>87</v>
      </c>
      <c r="D40" s="1">
        <v>27406.778410886702</v>
      </c>
      <c r="E40" s="1">
        <v>29184.5033387695</v>
      </c>
      <c r="F40" s="1">
        <v>29208.938251516302</v>
      </c>
      <c r="G40" s="1">
        <v>28964.154999362399</v>
      </c>
      <c r="H40" s="1">
        <v>30716.309866572101</v>
      </c>
      <c r="I40" s="1">
        <v>34709.889053225997</v>
      </c>
      <c r="J40" s="1">
        <v>39551.497742841399</v>
      </c>
      <c r="K40" s="1">
        <v>47189.309306008603</v>
      </c>
      <c r="L40" s="1">
        <v>48943.8405898032</v>
      </c>
      <c r="M40" s="1">
        <v>54293.164885455597</v>
      </c>
      <c r="N40" s="1">
        <v>73721.857999999993</v>
      </c>
      <c r="O40" s="1">
        <v>76468.471000000005</v>
      </c>
      <c r="P40" s="1">
        <v>72869.868000000002</v>
      </c>
      <c r="Q40" s="1">
        <v>76358.625</v>
      </c>
      <c r="R40" s="1">
        <v>80931.573999999993</v>
      </c>
      <c r="S40" s="1">
        <v>88473.649000000005</v>
      </c>
      <c r="T40" s="1">
        <v>91157.01</v>
      </c>
      <c r="U40" s="1">
        <v>100551.44</v>
      </c>
      <c r="V40" s="1">
        <v>108691.61</v>
      </c>
      <c r="W40" s="1">
        <v>112297.08</v>
      </c>
      <c r="X40" s="1">
        <v>101607.31</v>
      </c>
      <c r="Y40" s="1">
        <v>106352.4</v>
      </c>
      <c r="Z40" s="1">
        <v>110836.94</v>
      </c>
      <c r="AA40" s="1">
        <v>108965.38</v>
      </c>
      <c r="AB40" s="1">
        <v>112821.18</v>
      </c>
    </row>
    <row r="41" spans="1:29">
      <c r="A41" s="1">
        <f>VLOOKUP(B41,Legend!$C$32:$D$66,2,FALSE)</f>
        <v>16</v>
      </c>
      <c r="B41" s="1" t="s">
        <v>40</v>
      </c>
      <c r="C41" s="1" t="s">
        <v>87</v>
      </c>
      <c r="D41" s="1">
        <v>34231.6274330495</v>
      </c>
      <c r="E41" s="1">
        <v>34146.461403627698</v>
      </c>
      <c r="F41" s="1">
        <v>35268.8028253464</v>
      </c>
      <c r="G41" s="1">
        <v>39248.7805279772</v>
      </c>
      <c r="H41" s="1">
        <v>44821.637545016201</v>
      </c>
      <c r="I41" s="1">
        <v>41426.0470987187</v>
      </c>
      <c r="J41" s="1">
        <v>52423.004411271701</v>
      </c>
      <c r="K41" s="1">
        <v>50406.6465315885</v>
      </c>
      <c r="L41" s="1">
        <v>54324.5352316028</v>
      </c>
      <c r="M41" s="1">
        <v>48176.639774055599</v>
      </c>
      <c r="N41" s="1">
        <v>56902.826509999999</v>
      </c>
      <c r="O41" s="1">
        <v>69140.276740000001</v>
      </c>
      <c r="P41" s="1">
        <v>74861.100399999996</v>
      </c>
      <c r="Q41" s="1">
        <v>85500.813989999995</v>
      </c>
      <c r="R41" s="1">
        <v>93579.506160000004</v>
      </c>
      <c r="S41" s="1">
        <v>91237.103090000004</v>
      </c>
      <c r="T41" s="1">
        <v>90043.732789999995</v>
      </c>
      <c r="U41" s="1">
        <v>115180.7142</v>
      </c>
      <c r="V41" s="1">
        <v>128760.36953</v>
      </c>
      <c r="W41" s="1">
        <v>105887.33301</v>
      </c>
      <c r="X41" s="1">
        <v>91964.278649999993</v>
      </c>
      <c r="Y41" s="1">
        <v>98675.655150000006</v>
      </c>
      <c r="Z41" s="1">
        <v>137914.62</v>
      </c>
      <c r="AA41" s="1">
        <v>133754.20000000001</v>
      </c>
      <c r="AB41" s="1">
        <v>124021.01</v>
      </c>
    </row>
    <row r="42" spans="1:29">
      <c r="A42" s="1">
        <f>VLOOKUP(B42,Legend!$C$32:$D$66,2,FALSE)</f>
        <v>17</v>
      </c>
      <c r="B42" s="1" t="s">
        <v>6</v>
      </c>
      <c r="C42" s="1" t="s">
        <v>87</v>
      </c>
      <c r="D42" s="1">
        <v>5885.5718496050604</v>
      </c>
      <c r="E42" s="1">
        <v>5981.9600971843201</v>
      </c>
      <c r="F42" s="1">
        <v>6210.9182246342998</v>
      </c>
      <c r="G42" s="1">
        <v>6509.2340253372704</v>
      </c>
      <c r="H42" s="1">
        <v>7186.6413874271302</v>
      </c>
      <c r="I42" s="1">
        <v>7544.7096076190101</v>
      </c>
      <c r="J42" s="1">
        <v>7913.6745774552601</v>
      </c>
      <c r="K42" s="1">
        <v>8332.0208204135397</v>
      </c>
      <c r="L42" s="1">
        <v>9006.2689545075591</v>
      </c>
      <c r="M42" s="1">
        <v>8968.9859961420207</v>
      </c>
      <c r="N42" s="1">
        <v>10010.582399999999</v>
      </c>
      <c r="O42" s="1">
        <v>11639.894480000001</v>
      </c>
      <c r="P42" s="1">
        <v>13078.84576</v>
      </c>
      <c r="Q42" s="1">
        <v>12820.11399</v>
      </c>
      <c r="R42" s="1">
        <v>12751.371940000001</v>
      </c>
      <c r="S42" s="1">
        <v>13793.956899999999</v>
      </c>
      <c r="T42" s="1">
        <v>14552.4367</v>
      </c>
      <c r="U42" s="1">
        <v>15960.520979999999</v>
      </c>
      <c r="V42" s="1">
        <v>16197.87874</v>
      </c>
      <c r="W42" s="1">
        <v>16544.33338</v>
      </c>
      <c r="X42" s="1">
        <v>16114.690049999999</v>
      </c>
      <c r="Y42" s="1">
        <v>17164.75791</v>
      </c>
      <c r="Z42" s="1">
        <v>17640.591520000002</v>
      </c>
      <c r="AA42" s="1">
        <v>18201.55833</v>
      </c>
      <c r="AB42" s="1">
        <v>18005.314750000001</v>
      </c>
    </row>
    <row r="43" spans="1:29">
      <c r="A43" s="1">
        <f>VLOOKUP(B43,Legend!$C$32:$D$66,2,FALSE)</f>
        <v>18</v>
      </c>
      <c r="B43" s="1" t="s">
        <v>7</v>
      </c>
      <c r="C43" s="1" t="s">
        <v>87</v>
      </c>
      <c r="D43" s="1">
        <v>33560.177347640099</v>
      </c>
      <c r="E43" s="1">
        <v>29077.251027992901</v>
      </c>
      <c r="F43" s="1">
        <v>31302.198419349901</v>
      </c>
      <c r="G43" s="1">
        <v>38605.177880050796</v>
      </c>
      <c r="H43" s="1">
        <v>35413.889881865602</v>
      </c>
      <c r="I43" s="1">
        <v>41744.979670113396</v>
      </c>
      <c r="J43" s="1">
        <v>46511.223445767901</v>
      </c>
      <c r="K43" s="1">
        <v>46447.2572361395</v>
      </c>
      <c r="L43" s="1">
        <v>68386.425356746797</v>
      </c>
      <c r="M43" s="1">
        <v>61676.0581196942</v>
      </c>
      <c r="N43" s="1">
        <v>58516.351029999998</v>
      </c>
      <c r="O43" s="1">
        <v>66929.744720000002</v>
      </c>
      <c r="P43" s="1">
        <v>88912.711729999995</v>
      </c>
      <c r="Q43" s="1">
        <v>88292.00417</v>
      </c>
      <c r="R43" s="1">
        <v>91988.581460000001</v>
      </c>
      <c r="S43" s="1">
        <v>87104.121969999993</v>
      </c>
      <c r="T43" s="1">
        <v>84860.149560000005</v>
      </c>
      <c r="U43" s="1">
        <v>89754.319329999998</v>
      </c>
      <c r="V43" s="1">
        <v>100202.05022</v>
      </c>
      <c r="W43" s="1">
        <v>105181.83948</v>
      </c>
      <c r="X43" s="1">
        <v>100669.14564</v>
      </c>
      <c r="Y43" s="1">
        <v>117991.61096000001</v>
      </c>
      <c r="Z43" s="1">
        <v>125813.01</v>
      </c>
      <c r="AA43" s="1">
        <v>133226.67238</v>
      </c>
      <c r="AB43" s="1">
        <v>149412.72</v>
      </c>
      <c r="AC43" s="1">
        <v>61878.04</v>
      </c>
    </row>
    <row r="44" spans="1:29">
      <c r="A44" s="1">
        <f>VLOOKUP(B44,Legend!$C$32:$D$66,2,FALSE)</f>
        <v>19</v>
      </c>
      <c r="B44" s="1" t="s">
        <v>28</v>
      </c>
      <c r="C44" s="1" t="s">
        <v>87</v>
      </c>
      <c r="D44" s="1">
        <v>10255.2073707365</v>
      </c>
      <c r="E44" s="1">
        <v>12369.517264944599</v>
      </c>
      <c r="F44" s="1">
        <v>10231.109310825401</v>
      </c>
      <c r="G44" s="1">
        <v>10262.634125988199</v>
      </c>
      <c r="H44" s="1">
        <v>20617.082634631799</v>
      </c>
      <c r="I44" s="1">
        <v>21642.066926998199</v>
      </c>
      <c r="J44" s="1">
        <v>21470.0935967064</v>
      </c>
      <c r="K44" s="1">
        <v>21682.442663310499</v>
      </c>
      <c r="L44" s="1">
        <v>21635.240427349701</v>
      </c>
      <c r="M44" s="1">
        <v>21410.865989137899</v>
      </c>
      <c r="N44" s="1">
        <v>21755.361690000002</v>
      </c>
      <c r="O44" s="1">
        <v>30265.464370000002</v>
      </c>
      <c r="P44" s="1">
        <v>27941.95103</v>
      </c>
      <c r="Q44" s="1">
        <v>30238.287189999999</v>
      </c>
      <c r="R44" s="1">
        <v>35019.115570000002</v>
      </c>
      <c r="S44" s="1">
        <v>28501.761839999999</v>
      </c>
      <c r="T44" s="1">
        <v>25174.564920000001</v>
      </c>
      <c r="U44" s="1">
        <v>30894.843440000001</v>
      </c>
      <c r="V44" s="1">
        <v>30845.017370000001</v>
      </c>
      <c r="W44" s="1">
        <v>25775.369030000002</v>
      </c>
      <c r="X44" s="1">
        <v>23895.469099999998</v>
      </c>
      <c r="Y44" s="1">
        <v>34704.362679999998</v>
      </c>
      <c r="Z44" s="1">
        <v>34244.873010000003</v>
      </c>
      <c r="AA44" s="1">
        <v>28171.039209999999</v>
      </c>
      <c r="AB44" s="1">
        <v>23604.978770000002</v>
      </c>
    </row>
    <row r="45" spans="1:29">
      <c r="A45" s="1">
        <f>VLOOKUP(B45,Legend!$C$32:$D$66,2,FALSE)</f>
        <v>21</v>
      </c>
      <c r="B45" s="1" t="s">
        <v>29</v>
      </c>
      <c r="C45" s="1" t="s">
        <v>87</v>
      </c>
      <c r="G45" s="1">
        <v>115779.231530898</v>
      </c>
      <c r="H45" s="1">
        <v>120324.174815662</v>
      </c>
      <c r="I45" s="1">
        <v>128656.148245586</v>
      </c>
      <c r="J45" s="1">
        <v>127610.909827626</v>
      </c>
      <c r="K45" s="1">
        <v>153583.17103155499</v>
      </c>
      <c r="L45" s="1">
        <v>157960.12512542401</v>
      </c>
      <c r="M45" s="1">
        <v>154815.039880717</v>
      </c>
      <c r="N45" s="1">
        <v>166131.49442</v>
      </c>
      <c r="O45" s="1">
        <v>244113.02218</v>
      </c>
      <c r="P45" s="1">
        <v>207201.07169000001</v>
      </c>
      <c r="Q45" s="1">
        <v>234453.59497000001</v>
      </c>
      <c r="R45" s="1">
        <v>237440.02721</v>
      </c>
      <c r="S45" s="1">
        <v>249780.27630999999</v>
      </c>
      <c r="T45" s="1">
        <v>260019.03117</v>
      </c>
      <c r="U45" s="1">
        <v>257905.68445999999</v>
      </c>
      <c r="V45" s="1">
        <v>263907.83471000002</v>
      </c>
      <c r="W45" s="1">
        <v>275718.74416</v>
      </c>
      <c r="X45" s="1">
        <v>269000.80012999999</v>
      </c>
      <c r="Y45" s="1">
        <v>292037.36945</v>
      </c>
      <c r="Z45" s="1">
        <v>324436.08</v>
      </c>
      <c r="AA45" s="1">
        <v>316214.44</v>
      </c>
      <c r="AB45" s="1">
        <v>328150.96999999997</v>
      </c>
      <c r="AC45" s="1">
        <v>267698.68</v>
      </c>
    </row>
    <row r="46" spans="1:29">
      <c r="A46" s="1">
        <f>VLOOKUP(B46,Legend!$C$32:$D$66,2,FALSE)</f>
        <v>31</v>
      </c>
      <c r="B46" s="1" t="s">
        <v>8</v>
      </c>
      <c r="C46" s="1" t="s">
        <v>87</v>
      </c>
      <c r="D46" s="1">
        <v>244095.98188271999</v>
      </c>
      <c r="E46" s="1">
        <v>234876.96127918601</v>
      </c>
      <c r="F46" s="1">
        <v>254639.92741478799</v>
      </c>
      <c r="G46" s="1">
        <v>295410.74602082302</v>
      </c>
      <c r="H46" s="1">
        <v>343153.47177105502</v>
      </c>
      <c r="I46" s="1">
        <v>381932.26234151999</v>
      </c>
      <c r="J46" s="1">
        <v>398128.25374445599</v>
      </c>
      <c r="K46" s="1">
        <v>420937.689410722</v>
      </c>
      <c r="L46" s="1">
        <v>440312.402237695</v>
      </c>
      <c r="M46" s="1">
        <v>441353.38801059802</v>
      </c>
      <c r="N46" s="1">
        <v>473891.31920999999</v>
      </c>
      <c r="O46" s="1">
        <v>584876.79119999998</v>
      </c>
      <c r="P46" s="1">
        <v>576970.60381</v>
      </c>
      <c r="Q46" s="1">
        <v>541272.49352000002</v>
      </c>
      <c r="R46" s="1">
        <v>551708.75641999999</v>
      </c>
      <c r="S46" s="1">
        <v>553924.17954000004</v>
      </c>
      <c r="T46" s="1">
        <v>576458.93123999995</v>
      </c>
      <c r="U46" s="1">
        <v>756531.27645</v>
      </c>
      <c r="V46" s="1">
        <v>1001227.27322</v>
      </c>
      <c r="W46" s="1">
        <v>983214.58469000005</v>
      </c>
      <c r="X46" s="1">
        <v>887825.87748999998</v>
      </c>
      <c r="Y46" s="1">
        <v>988640.33258000005</v>
      </c>
      <c r="Z46" s="1">
        <v>1113108.93</v>
      </c>
      <c r="AA46" s="1">
        <v>1199014.98</v>
      </c>
      <c r="AB46" s="1">
        <v>1314627.56</v>
      </c>
    </row>
    <row r="47" spans="1:29">
      <c r="A47" s="1">
        <f>VLOOKUP(B47,Legend!$C$32:$D$66,2,FALSE)</f>
        <v>32</v>
      </c>
      <c r="B47" s="1" t="s">
        <v>21</v>
      </c>
      <c r="C47" s="1" t="s">
        <v>87</v>
      </c>
      <c r="D47" s="1">
        <v>183165.50163079999</v>
      </c>
      <c r="E47" s="1">
        <v>202234.98991031101</v>
      </c>
      <c r="F47" s="1">
        <v>290497.99271401798</v>
      </c>
      <c r="G47" s="1">
        <v>303665.71342862101</v>
      </c>
      <c r="H47" s="1">
        <v>314393.741719254</v>
      </c>
      <c r="I47" s="1">
        <v>325579.77591733699</v>
      </c>
      <c r="J47" s="1">
        <v>309041.84325750102</v>
      </c>
      <c r="K47" s="1">
        <v>297457.91955491999</v>
      </c>
      <c r="L47" s="1">
        <v>269030.58229384403</v>
      </c>
      <c r="M47" s="1">
        <v>281800.18393779203</v>
      </c>
      <c r="N47" s="1">
        <v>316311.70355999999</v>
      </c>
      <c r="O47" s="1">
        <v>380679.94754000002</v>
      </c>
      <c r="P47" s="1">
        <v>423333.82487000001</v>
      </c>
      <c r="Q47" s="1">
        <v>379154.22499000002</v>
      </c>
      <c r="R47" s="1">
        <v>400530.83648</v>
      </c>
      <c r="S47" s="1">
        <v>423152.22229000001</v>
      </c>
      <c r="T47" s="1">
        <v>435541.82082000002</v>
      </c>
      <c r="U47" s="1">
        <v>493916.57744000002</v>
      </c>
      <c r="V47" s="1">
        <v>550805.25055999996</v>
      </c>
      <c r="W47" s="1">
        <v>591685.34236999997</v>
      </c>
      <c r="X47" s="1">
        <v>558716.78471000004</v>
      </c>
      <c r="Y47" s="1">
        <v>681316.21097000001</v>
      </c>
      <c r="Z47" s="1">
        <v>756452.61607999995</v>
      </c>
      <c r="AA47" s="1">
        <v>850488.05064999999</v>
      </c>
      <c r="AB47" s="1">
        <v>953340.82152</v>
      </c>
    </row>
    <row r="48" spans="1:29">
      <c r="A48" s="1">
        <f>VLOOKUP(B48,Legend!$C$32:$D$66,2,FALSE)</f>
        <v>33</v>
      </c>
      <c r="B48" s="1" t="s">
        <v>22</v>
      </c>
      <c r="C48" s="1" t="s">
        <v>87</v>
      </c>
      <c r="D48" s="1">
        <v>35420.344863229402</v>
      </c>
      <c r="E48" s="1">
        <v>35510.639449464703</v>
      </c>
      <c r="F48" s="1">
        <v>33178.112923915898</v>
      </c>
      <c r="G48" s="1">
        <v>38280.347020951202</v>
      </c>
      <c r="H48" s="1">
        <v>40515.391087031203</v>
      </c>
      <c r="I48" s="1">
        <v>39749.424622829203</v>
      </c>
      <c r="J48" s="1">
        <v>38578.953076912498</v>
      </c>
      <c r="K48" s="1">
        <v>40716.537313118701</v>
      </c>
      <c r="L48" s="1">
        <v>41238.359521956503</v>
      </c>
      <c r="M48" s="1">
        <v>39396.975244007503</v>
      </c>
      <c r="N48" s="1">
        <v>43652.54</v>
      </c>
      <c r="O48" s="1">
        <v>49680.05</v>
      </c>
      <c r="P48" s="1">
        <v>53707.48</v>
      </c>
      <c r="Q48" s="1">
        <v>61923.620410000003</v>
      </c>
      <c r="R48" s="1">
        <v>68523.198099999994</v>
      </c>
      <c r="S48" s="1">
        <v>68716.85583</v>
      </c>
      <c r="T48" s="1">
        <v>66644.884590000001</v>
      </c>
      <c r="U48" s="1">
        <v>75670.847699999998</v>
      </c>
      <c r="V48" s="1">
        <v>84592.90165</v>
      </c>
      <c r="W48" s="1">
        <v>88909.097269999998</v>
      </c>
      <c r="X48" s="1">
        <v>85535.252189999999</v>
      </c>
      <c r="Y48" s="1">
        <v>104222.20282999999</v>
      </c>
      <c r="Z48" s="1">
        <v>115030.48624</v>
      </c>
      <c r="AA48" s="1">
        <v>104053.81</v>
      </c>
      <c r="AB48" s="1">
        <v>117267.52</v>
      </c>
      <c r="AC48" s="1">
        <v>133212.43</v>
      </c>
    </row>
    <row r="49" spans="1:29">
      <c r="A49" s="1">
        <f>VLOOKUP(B49,Legend!$C$32:$D$66,2,FALSE)</f>
        <v>34</v>
      </c>
      <c r="B49" s="1" t="s">
        <v>9</v>
      </c>
      <c r="C49" s="1" t="s">
        <v>87</v>
      </c>
      <c r="D49" s="1">
        <v>1628.5231652964501</v>
      </c>
      <c r="E49" s="1">
        <v>1767.45076499016</v>
      </c>
      <c r="F49" s="1">
        <v>1903.57435210433</v>
      </c>
      <c r="G49" s="1">
        <v>2033.5839715100001</v>
      </c>
      <c r="H49" s="1">
        <v>2133.5795253599199</v>
      </c>
      <c r="I49" s="1">
        <v>2268.7569843507199</v>
      </c>
      <c r="J49" s="1">
        <v>2226.23257747866</v>
      </c>
      <c r="K49" s="1">
        <v>2336.6401223759099</v>
      </c>
      <c r="L49" s="1">
        <v>2477.2758751913898</v>
      </c>
      <c r="M49" s="1">
        <v>2555.1554619847602</v>
      </c>
      <c r="N49" s="1">
        <v>2719.3946178299998</v>
      </c>
      <c r="O49" s="1">
        <v>2543.26148225</v>
      </c>
      <c r="P49" s="1">
        <v>2933.9539369499998</v>
      </c>
      <c r="Q49" s="1">
        <v>3541.6401847900001</v>
      </c>
      <c r="R49" s="1">
        <v>4278.2479202200002</v>
      </c>
      <c r="S49" s="1">
        <v>4416.2521299999999</v>
      </c>
      <c r="T49" s="1">
        <v>4400.8889799999997</v>
      </c>
      <c r="U49" s="1">
        <v>4808.5274399999998</v>
      </c>
      <c r="V49" s="1">
        <v>5424.8026600000003</v>
      </c>
      <c r="W49" s="1">
        <v>5413.1308799999997</v>
      </c>
      <c r="X49" s="1">
        <v>4714.7278299999998</v>
      </c>
      <c r="Y49" s="1">
        <v>5736.9343699999999</v>
      </c>
      <c r="Z49" s="1">
        <v>6213.7539999999999</v>
      </c>
      <c r="AA49" s="1">
        <v>5265.26019</v>
      </c>
      <c r="AB49" s="1">
        <v>5983.5241800000003</v>
      </c>
      <c r="AC49" s="1">
        <v>6461</v>
      </c>
    </row>
    <row r="50" spans="1:29">
      <c r="A50" s="1">
        <f>VLOOKUP(B50,Legend!$C$32:$D$66,2,FALSE)</f>
        <v>35</v>
      </c>
      <c r="B50" s="1" t="s">
        <v>23</v>
      </c>
      <c r="C50" s="1" t="s">
        <v>87</v>
      </c>
      <c r="D50" s="1">
        <v>235331.65677203599</v>
      </c>
      <c r="E50" s="1">
        <v>237926.08677655601</v>
      </c>
      <c r="F50" s="1">
        <v>221612.65553093099</v>
      </c>
      <c r="G50" s="1">
        <v>231802.27479745401</v>
      </c>
      <c r="H50" s="1">
        <v>244331.59670195001</v>
      </c>
      <c r="I50" s="1">
        <v>270529.032812302</v>
      </c>
      <c r="J50" s="1">
        <v>294431.806782239</v>
      </c>
      <c r="K50" s="1">
        <v>311001.45497555501</v>
      </c>
      <c r="L50" s="1">
        <v>329225.76128949499</v>
      </c>
      <c r="M50" s="1">
        <v>319391.06222525099</v>
      </c>
      <c r="N50" s="1">
        <v>348456.09552999999</v>
      </c>
      <c r="O50" s="1">
        <v>431205.39753999998</v>
      </c>
      <c r="P50" s="1">
        <v>496215.45364999998</v>
      </c>
      <c r="Q50" s="1">
        <v>515981.67323000001</v>
      </c>
      <c r="R50" s="1">
        <v>575459.30978000001</v>
      </c>
      <c r="S50" s="1">
        <v>592478.22901999997</v>
      </c>
      <c r="T50" s="1">
        <v>671096.85262000002</v>
      </c>
      <c r="U50" s="1">
        <v>749400.18206000002</v>
      </c>
      <c r="V50" s="1">
        <v>817740.55793999997</v>
      </c>
      <c r="W50" s="1">
        <v>845287.78968000005</v>
      </c>
      <c r="X50" s="1">
        <v>817057.63236000005</v>
      </c>
      <c r="Y50" s="1">
        <v>902139.84</v>
      </c>
      <c r="Z50" s="1">
        <v>985733.75</v>
      </c>
      <c r="AA50" s="1">
        <v>1002438.67</v>
      </c>
      <c r="AB50" s="1">
        <v>1093502.8</v>
      </c>
      <c r="AC50" s="1">
        <v>1166044.78</v>
      </c>
    </row>
    <row r="51" spans="1:29">
      <c r="A51" s="1">
        <f>VLOOKUP(B51,Legend!$C$32:$D$66,2,FALSE)</f>
        <v>36</v>
      </c>
      <c r="B51" s="1" t="s">
        <v>10</v>
      </c>
      <c r="C51" s="1" t="s">
        <v>87</v>
      </c>
      <c r="D51" s="1">
        <v>72858.227288984999</v>
      </c>
      <c r="E51" s="1">
        <v>71490.491236499598</v>
      </c>
      <c r="F51" s="1">
        <v>74361.576358068196</v>
      </c>
      <c r="G51" s="1">
        <v>79587.486786663096</v>
      </c>
      <c r="H51" s="1">
        <v>87397.471401103903</v>
      </c>
      <c r="I51" s="1">
        <v>94241.662084824493</v>
      </c>
      <c r="J51" s="1">
        <v>104918.243936535</v>
      </c>
      <c r="K51" s="1">
        <v>208859.152549063</v>
      </c>
      <c r="L51" s="1">
        <v>219942.32439824301</v>
      </c>
      <c r="M51" s="1">
        <v>201828.886580547</v>
      </c>
      <c r="N51" s="1">
        <v>225820.83789</v>
      </c>
      <c r="O51" s="1">
        <v>244595.47764</v>
      </c>
      <c r="P51" s="1">
        <v>269522.31747000001</v>
      </c>
      <c r="Q51" s="1">
        <v>266070.52059999999</v>
      </c>
      <c r="R51" s="1">
        <v>281605.99566999997</v>
      </c>
      <c r="S51" s="1">
        <v>293912.58098999999</v>
      </c>
      <c r="T51" s="1">
        <v>300740.57458000001</v>
      </c>
      <c r="U51" s="1">
        <v>332512.60382000002</v>
      </c>
      <c r="V51" s="1">
        <v>340890.02207000001</v>
      </c>
      <c r="W51" s="1">
        <v>336892.95853</v>
      </c>
      <c r="X51" s="1">
        <v>318894.26597000001</v>
      </c>
      <c r="Y51" s="1">
        <v>351228.89</v>
      </c>
      <c r="Z51" s="1">
        <v>379728.39</v>
      </c>
      <c r="AA51" s="1">
        <v>384298.13</v>
      </c>
      <c r="AB51" s="1">
        <v>419119.83</v>
      </c>
      <c r="AC51" s="1">
        <v>432045.42</v>
      </c>
    </row>
    <row r="52" spans="1:29">
      <c r="A52" s="1">
        <f>VLOOKUP(B52,Legend!$C$32:$D$66,2,FALSE)</f>
        <v>51</v>
      </c>
      <c r="B52" s="1" t="s">
        <v>11</v>
      </c>
      <c r="C52" s="1" t="s">
        <v>87</v>
      </c>
      <c r="D52" s="1">
        <v>11814.152961538501</v>
      </c>
      <c r="E52" s="1">
        <v>12448.630859036601</v>
      </c>
      <c r="F52" s="1">
        <v>12936.624401568</v>
      </c>
      <c r="G52" s="1">
        <v>13710.564658417999</v>
      </c>
      <c r="H52" s="1">
        <v>15318.1094878411</v>
      </c>
      <c r="I52" s="1">
        <v>15772.045197924699</v>
      </c>
      <c r="J52" s="1">
        <v>17707.320264847502</v>
      </c>
      <c r="K52" s="1">
        <v>20082.916902156801</v>
      </c>
      <c r="L52" s="1">
        <v>23492.396608045899</v>
      </c>
      <c r="M52" s="1">
        <v>26183.8580194735</v>
      </c>
      <c r="N52" s="1">
        <v>30918.015889999999</v>
      </c>
      <c r="O52" s="1">
        <v>31862.94947</v>
      </c>
      <c r="P52" s="1">
        <v>33174.014190000002</v>
      </c>
      <c r="Q52" s="1">
        <v>37069.629520000002</v>
      </c>
      <c r="R52" s="1">
        <v>43139.801200000002</v>
      </c>
      <c r="S52" s="1">
        <v>45736.990299999998</v>
      </c>
      <c r="T52" s="1">
        <v>52314.230150000003</v>
      </c>
      <c r="U52" s="1">
        <v>56024.959260000003</v>
      </c>
      <c r="V52" s="1">
        <v>59447.660980000001</v>
      </c>
      <c r="W52" s="1">
        <v>59187.151590000001</v>
      </c>
      <c r="X52" s="1">
        <v>14121.596820000001</v>
      </c>
      <c r="Y52" s="1">
        <v>4340.0661099999998</v>
      </c>
      <c r="Z52" s="1">
        <v>28410.212070000001</v>
      </c>
      <c r="AA52" s="1">
        <v>57666.17</v>
      </c>
      <c r="AB52" s="1">
        <v>66949.350000000006</v>
      </c>
      <c r="AC52" s="1">
        <v>72452.11</v>
      </c>
    </row>
    <row r="53" spans="1:29">
      <c r="A53" s="1">
        <f>VLOOKUP(B53,Legend!$C$32:$D$66,2,FALSE)</f>
        <v>52</v>
      </c>
      <c r="B53" s="1" t="s">
        <v>31</v>
      </c>
      <c r="C53" s="1" t="s">
        <v>87</v>
      </c>
      <c r="D53" s="1">
        <v>27536.293522625499</v>
      </c>
      <c r="E53" s="1">
        <v>30570.022808612899</v>
      </c>
      <c r="F53" s="1">
        <v>32475.5434863228</v>
      </c>
      <c r="G53" s="1">
        <v>29550.7363431616</v>
      </c>
      <c r="H53" s="1">
        <v>31133.598535277299</v>
      </c>
      <c r="I53" s="1">
        <v>30103.184466806098</v>
      </c>
      <c r="J53" s="1">
        <v>27646.231964447299</v>
      </c>
      <c r="K53" s="1">
        <v>27306.308887649</v>
      </c>
      <c r="L53" s="1">
        <v>24705.730118646799</v>
      </c>
      <c r="M53" s="1">
        <v>29402.985229697999</v>
      </c>
      <c r="N53" s="1">
        <v>32859.298009999999</v>
      </c>
      <c r="O53" s="1">
        <v>25912.10655</v>
      </c>
      <c r="P53" s="1">
        <v>17349.74466</v>
      </c>
      <c r="Q53" s="1">
        <v>15088.56934</v>
      </c>
      <c r="R53" s="1">
        <v>11455.384760000001</v>
      </c>
      <c r="S53" s="1">
        <v>23089.000459999999</v>
      </c>
      <c r="T53" s="1">
        <v>26167.99872</v>
      </c>
      <c r="U53" s="1">
        <v>24100.240389999999</v>
      </c>
      <c r="V53" s="1">
        <v>19620.680400000001</v>
      </c>
      <c r="W53" s="1">
        <v>23536.14443</v>
      </c>
      <c r="X53" s="1">
        <v>25504.197609999999</v>
      </c>
      <c r="Y53" s="1">
        <v>28073.111219999999</v>
      </c>
      <c r="Z53" s="1">
        <v>40832.865030000001</v>
      </c>
      <c r="AA53" s="1">
        <v>36425.221019999997</v>
      </c>
      <c r="AB53" s="1">
        <v>38526.69</v>
      </c>
      <c r="AC53" s="1">
        <v>34357.120000000003</v>
      </c>
    </row>
    <row r="54" spans="1:29">
      <c r="A54" s="1">
        <f>VLOOKUP(B54,Legend!$C$32:$D$66,2,FALSE)</f>
        <v>53</v>
      </c>
      <c r="B54" s="1" t="s">
        <v>32</v>
      </c>
      <c r="C54" s="1" t="s">
        <v>87</v>
      </c>
      <c r="D54" s="1">
        <v>1371.6526537944401</v>
      </c>
      <c r="E54" s="1">
        <v>1898.91884388008</v>
      </c>
      <c r="F54" s="1">
        <v>2106.8237804671899</v>
      </c>
      <c r="G54" s="1">
        <v>2232.2149392772499</v>
      </c>
      <c r="H54" s="1">
        <v>2270.8256659018198</v>
      </c>
      <c r="I54" s="1">
        <v>2473.1715479386198</v>
      </c>
      <c r="J54" s="1">
        <v>2739.5862136775199</v>
      </c>
      <c r="K54" s="1">
        <v>2994.0368110115101</v>
      </c>
      <c r="L54" s="1">
        <v>3074.34100637245</v>
      </c>
      <c r="M54" s="1">
        <v>3114.7682494083701</v>
      </c>
      <c r="N54" s="1">
        <v>3152.7413099999999</v>
      </c>
      <c r="O54" s="1">
        <v>5481.6006500000003</v>
      </c>
      <c r="P54" s="1">
        <v>7750.0072799999998</v>
      </c>
      <c r="Q54" s="1">
        <v>4708.8682799999997</v>
      </c>
      <c r="R54" s="1">
        <v>5347.4404599999998</v>
      </c>
      <c r="S54" s="1">
        <v>10490.511200000001</v>
      </c>
      <c r="T54" s="1">
        <v>5746.0346499999996</v>
      </c>
      <c r="U54" s="1">
        <v>5540.1921199999997</v>
      </c>
      <c r="V54" s="1">
        <v>6474.4411</v>
      </c>
      <c r="W54" s="1">
        <v>6217.0265399999998</v>
      </c>
      <c r="X54" s="1">
        <v>4057.97019</v>
      </c>
      <c r="Y54" s="1">
        <v>3426.4635800000001</v>
      </c>
      <c r="Z54" s="1">
        <v>3757.36078</v>
      </c>
      <c r="AA54" s="1">
        <v>4509.5679399999999</v>
      </c>
      <c r="AB54" s="1">
        <v>4330.1326300000001</v>
      </c>
    </row>
    <row r="55" spans="1:29">
      <c r="A55" s="1">
        <f>VLOOKUP(B55,Legend!$C$32:$D$66,2,FALSE)</f>
        <v>61</v>
      </c>
      <c r="B55" s="1" t="s">
        <v>24</v>
      </c>
      <c r="C55" s="1" t="s">
        <v>87</v>
      </c>
      <c r="D55" s="1">
        <v>9210.6129115654403</v>
      </c>
      <c r="E55" s="1">
        <v>9385.0231330565493</v>
      </c>
      <c r="F55" s="1">
        <v>8495.8595369794493</v>
      </c>
      <c r="G55" s="1">
        <v>8798.5834682521509</v>
      </c>
      <c r="H55" s="1">
        <v>8830.5586675407503</v>
      </c>
      <c r="I55" s="1">
        <v>9382.3889481182305</v>
      </c>
      <c r="J55" s="1">
        <v>10832.2051896249</v>
      </c>
      <c r="K55" s="1">
        <v>10657.6673514828</v>
      </c>
      <c r="L55" s="1">
        <v>11452.950030742701</v>
      </c>
      <c r="M55" s="1">
        <v>10708.726863370901</v>
      </c>
      <c r="N55" s="1">
        <v>11531.07195</v>
      </c>
      <c r="O55" s="1">
        <v>19992.97681</v>
      </c>
      <c r="P55" s="1">
        <v>16077.19881</v>
      </c>
      <c r="Q55" s="1">
        <v>18475.303090000001</v>
      </c>
      <c r="R55" s="1">
        <v>9882.0681499999992</v>
      </c>
      <c r="S55" s="1">
        <v>9501.4304400000001</v>
      </c>
      <c r="T55" s="1">
        <v>10797.309160000001</v>
      </c>
      <c r="U55" s="1">
        <v>14336.101430000001</v>
      </c>
      <c r="V55" s="1">
        <v>17152.376400000001</v>
      </c>
      <c r="W55" s="1">
        <v>19122.57646</v>
      </c>
      <c r="X55" s="1">
        <v>20605.586920000002</v>
      </c>
      <c r="Y55" s="1">
        <v>25287.066159999998</v>
      </c>
      <c r="Z55" s="1">
        <v>34492.54</v>
      </c>
      <c r="AA55" s="1">
        <v>26132.97</v>
      </c>
      <c r="AB55" s="1">
        <v>33307.19</v>
      </c>
    </row>
    <row r="56" spans="1:29">
      <c r="A56" s="1">
        <f>VLOOKUP(B56,Legend!$C$32:$D$66,2,FALSE)</f>
        <v>62</v>
      </c>
      <c r="B56" s="1" t="s">
        <v>26</v>
      </c>
      <c r="C56" s="1" t="s">
        <v>87</v>
      </c>
      <c r="D56" s="1">
        <v>10039.659300589699</v>
      </c>
      <c r="E56" s="1">
        <v>9637.8133428307592</v>
      </c>
      <c r="F56" s="1">
        <v>9796.66662673473</v>
      </c>
      <c r="G56" s="1">
        <v>10695.267482471199</v>
      </c>
      <c r="H56" s="1">
        <v>11180.687352131599</v>
      </c>
      <c r="I56" s="1">
        <v>11794.1174283814</v>
      </c>
      <c r="J56" s="1">
        <v>13107.8745780221</v>
      </c>
      <c r="K56" s="1">
        <v>13295.7359214722</v>
      </c>
      <c r="L56" s="1">
        <v>15755.6810613788</v>
      </c>
      <c r="M56" s="1">
        <v>19012.1075283356</v>
      </c>
      <c r="N56" s="1">
        <v>23886.645</v>
      </c>
      <c r="O56" s="1">
        <v>25677.580999999998</v>
      </c>
      <c r="P56" s="1">
        <v>27975.125</v>
      </c>
      <c r="Q56" s="1">
        <v>31494.949000000001</v>
      </c>
      <c r="R56" s="1">
        <v>32006.5</v>
      </c>
      <c r="S56" s="1">
        <v>34498.6</v>
      </c>
      <c r="T56" s="1">
        <v>38054.826999999997</v>
      </c>
      <c r="U56" s="1">
        <v>42464.7</v>
      </c>
      <c r="V56" s="1">
        <v>46881.9</v>
      </c>
      <c r="W56" s="1">
        <v>48925</v>
      </c>
      <c r="X56" s="1">
        <v>45881.2</v>
      </c>
      <c r="Y56" s="1">
        <v>48326.2</v>
      </c>
      <c r="Z56" s="1">
        <v>57134.6</v>
      </c>
      <c r="AA56" s="1">
        <v>56841</v>
      </c>
      <c r="AB56" s="1">
        <v>56590</v>
      </c>
      <c r="AC56" s="1">
        <v>62629.3</v>
      </c>
    </row>
    <row r="57" spans="1:29">
      <c r="A57" s="1">
        <f>VLOOKUP(B57,Legend!$C$32:$D$66,2,FALSE)</f>
        <v>63</v>
      </c>
      <c r="B57" s="1" t="s">
        <v>25</v>
      </c>
      <c r="C57" s="1" t="s">
        <v>87</v>
      </c>
      <c r="D57" s="1">
        <v>35203.607943686002</v>
      </c>
      <c r="E57" s="1">
        <v>33911.202426960503</v>
      </c>
      <c r="F57" s="1">
        <v>37927.895462120301</v>
      </c>
      <c r="G57" s="1">
        <v>41102.0211904713</v>
      </c>
      <c r="H57" s="1">
        <v>42271.569567609098</v>
      </c>
      <c r="I57" s="1">
        <v>55563.064278571503</v>
      </c>
      <c r="J57" s="1">
        <v>51455.886396103298</v>
      </c>
      <c r="K57" s="1">
        <v>57892.453122180203</v>
      </c>
      <c r="L57" s="1">
        <v>66609.746096051007</v>
      </c>
      <c r="M57" s="1">
        <v>67112.634464247501</v>
      </c>
      <c r="N57" s="1">
        <v>74947.785820000005</v>
      </c>
      <c r="O57" s="1">
        <v>91457.942980000007</v>
      </c>
      <c r="P57" s="1">
        <v>91807.10656</v>
      </c>
      <c r="Q57" s="1">
        <v>91706.846909999993</v>
      </c>
      <c r="R57" s="1">
        <v>91123.191439999995</v>
      </c>
      <c r="S57" s="1">
        <v>84548.668420000002</v>
      </c>
      <c r="T57" s="1">
        <v>84859.056700000001</v>
      </c>
      <c r="U57" s="1">
        <v>92462.023700000005</v>
      </c>
      <c r="V57" s="1">
        <v>97980.972380000007</v>
      </c>
      <c r="W57" s="1">
        <v>100100.72775999999</v>
      </c>
      <c r="X57" s="1">
        <v>88918.21974</v>
      </c>
      <c r="Y57" s="1">
        <v>105442.20553000001</v>
      </c>
      <c r="Z57" s="1">
        <v>119455.93593000001</v>
      </c>
      <c r="AA57" s="1">
        <v>128461.84</v>
      </c>
      <c r="AB57" s="1">
        <v>134831.74</v>
      </c>
      <c r="AC57" s="1">
        <v>127289.45</v>
      </c>
    </row>
    <row r="58" spans="1:29">
      <c r="A58" s="1">
        <f>VLOOKUP(B58,Legend!$C$32:$D$66,2,FALSE)</f>
        <v>64</v>
      </c>
      <c r="B58" s="1" t="s">
        <v>27</v>
      </c>
      <c r="C58" s="1" t="s">
        <v>87</v>
      </c>
      <c r="D58" s="1">
        <v>291350.95314496499</v>
      </c>
      <c r="E58" s="1">
        <v>304457.50758279499</v>
      </c>
      <c r="F58" s="1">
        <v>301062.70631484699</v>
      </c>
      <c r="G58" s="1">
        <v>307203.71696540102</v>
      </c>
      <c r="H58" s="1">
        <v>328304.36098985502</v>
      </c>
      <c r="I58" s="1">
        <v>351845.866320837</v>
      </c>
      <c r="J58" s="1">
        <v>371611.129964903</v>
      </c>
      <c r="K58" s="1">
        <v>380265.20328361797</v>
      </c>
      <c r="L58" s="1">
        <v>399930.62169615098</v>
      </c>
      <c r="M58" s="1">
        <v>378007.935229572</v>
      </c>
      <c r="N58" s="1">
        <v>408291.06464</v>
      </c>
      <c r="O58" s="1">
        <v>430355.78820000001</v>
      </c>
      <c r="P58" s="1">
        <v>454195.05631000001</v>
      </c>
      <c r="Q58" s="1">
        <v>467041.12044999999</v>
      </c>
      <c r="R58" s="1">
        <v>475151.60879000003</v>
      </c>
      <c r="S58" s="1">
        <v>473419.86822</v>
      </c>
      <c r="T58" s="1">
        <v>481739.00537999999</v>
      </c>
      <c r="U58" s="1">
        <v>502223.35271000001</v>
      </c>
      <c r="V58" s="1">
        <v>513208.16678999999</v>
      </c>
      <c r="W58" s="1">
        <v>539516.95765</v>
      </c>
      <c r="X58" s="1">
        <v>519613.39935000002</v>
      </c>
      <c r="Y58" s="1">
        <v>537033.35421000002</v>
      </c>
      <c r="Z58" s="1">
        <v>556463.44999999995</v>
      </c>
      <c r="AA58" s="1">
        <v>589664.61</v>
      </c>
      <c r="AB58" s="1">
        <v>631016.87</v>
      </c>
      <c r="AC58" s="1">
        <v>669089.9</v>
      </c>
    </row>
    <row r="59" spans="1:29">
      <c r="A59" s="1">
        <f>VLOOKUP(B59,Legend!$C$32:$D$66,2,FALSE)</f>
        <v>65</v>
      </c>
      <c r="B59" s="1" t="s">
        <v>46</v>
      </c>
      <c r="C59" s="1" t="s">
        <v>87</v>
      </c>
      <c r="N59" s="1">
        <v>28553.736499999999</v>
      </c>
      <c r="O59" s="1">
        <v>31390.055100000001</v>
      </c>
      <c r="P59" s="1">
        <v>34402.426480000002</v>
      </c>
      <c r="Q59" s="1">
        <v>37225.750059999998</v>
      </c>
      <c r="R59" s="1">
        <v>41345.536310000003</v>
      </c>
      <c r="S59" s="1">
        <v>42093.10471</v>
      </c>
      <c r="T59" s="1">
        <v>44096.758909999997</v>
      </c>
      <c r="U59" s="1">
        <v>48029.822169999999</v>
      </c>
      <c r="V59" s="1">
        <v>51249.329239999999</v>
      </c>
      <c r="W59" s="1">
        <v>57140.194360000001</v>
      </c>
      <c r="X59" s="1">
        <v>57834.849569999998</v>
      </c>
      <c r="Y59" s="1">
        <v>66189.414489999996</v>
      </c>
      <c r="Z59" s="1">
        <v>70918.924599999998</v>
      </c>
      <c r="AA59" s="1">
        <v>72137.949200000003</v>
      </c>
      <c r="AB59" s="1">
        <v>73589.006399999998</v>
      </c>
      <c r="AC59" s="1">
        <v>75781.568299999999</v>
      </c>
    </row>
    <row r="60" spans="1:29">
      <c r="A60" s="1">
        <f>VLOOKUP(B60,Legend!$C$32:$D$66,2,FALSE)</f>
        <v>71</v>
      </c>
      <c r="B60" s="1" t="s">
        <v>38</v>
      </c>
      <c r="C60" s="1" t="s">
        <v>87</v>
      </c>
      <c r="D60" s="1">
        <v>5821.1531884504102</v>
      </c>
      <c r="E60" s="1">
        <v>3730.6071591688501</v>
      </c>
      <c r="F60" s="1">
        <v>3736.6581305731002</v>
      </c>
      <c r="G60" s="1">
        <v>4764.2213174645203</v>
      </c>
      <c r="H60" s="1">
        <v>6742.4751645632696</v>
      </c>
      <c r="I60" s="1">
        <v>7576.5815977865695</v>
      </c>
      <c r="J60" s="1">
        <v>7447.4313599045699</v>
      </c>
      <c r="K60" s="1">
        <v>8202.2226587763398</v>
      </c>
      <c r="L60" s="1">
        <v>9995.6779715999892</v>
      </c>
      <c r="M60" s="1">
        <v>10402.3825068349</v>
      </c>
      <c r="N60" s="1">
        <v>11844.726000000001</v>
      </c>
      <c r="O60" s="1">
        <v>18579.839</v>
      </c>
      <c r="P60" s="1">
        <v>24554.471000000001</v>
      </c>
      <c r="Q60" s="1">
        <v>19319.593000000001</v>
      </c>
      <c r="R60" s="1">
        <v>22959.623</v>
      </c>
      <c r="S60" s="1">
        <v>18123.275000000001</v>
      </c>
      <c r="T60" s="1">
        <v>20406.113000000001</v>
      </c>
      <c r="U60" s="1">
        <v>20527.698</v>
      </c>
      <c r="V60" s="1">
        <v>23275.491000000002</v>
      </c>
      <c r="W60" s="1">
        <v>23521.511999999999</v>
      </c>
      <c r="X60" s="1">
        <v>22975.226999999999</v>
      </c>
      <c r="Y60" s="1">
        <v>24936.158070000001</v>
      </c>
      <c r="Z60" s="1">
        <v>25347.286749999999</v>
      </c>
      <c r="AA60" s="1">
        <v>26448.298409999999</v>
      </c>
      <c r="AB60" s="1">
        <v>26904.414000000001</v>
      </c>
    </row>
    <row r="61" spans="1:29">
      <c r="A61" s="1">
        <f>VLOOKUP(B61,Legend!$C$32:$D$66,2,FALSE)</f>
        <v>72</v>
      </c>
      <c r="B61" s="1" t="s">
        <v>36</v>
      </c>
      <c r="C61" s="1" t="s">
        <v>87</v>
      </c>
      <c r="D61" s="1">
        <v>7500.7863113782796</v>
      </c>
      <c r="E61" s="1">
        <v>7892.6755460295699</v>
      </c>
      <c r="F61" s="1">
        <v>8274.63807638865</v>
      </c>
      <c r="G61" s="1">
        <v>8578.9082707738107</v>
      </c>
      <c r="H61" s="1">
        <v>8890.5096743550603</v>
      </c>
      <c r="I61" s="1">
        <v>9332.3709967391496</v>
      </c>
      <c r="J61" s="1">
        <v>9878.0312994268697</v>
      </c>
      <c r="K61" s="1">
        <v>10825.6110218057</v>
      </c>
      <c r="L61" s="1">
        <v>11881.2725633277</v>
      </c>
      <c r="M61" s="1">
        <v>12491.710638099699</v>
      </c>
      <c r="N61" s="1">
        <v>13951.02255</v>
      </c>
      <c r="O61" s="1">
        <v>17033.43678</v>
      </c>
      <c r="P61" s="1">
        <v>22073.639859999999</v>
      </c>
      <c r="Q61" s="1">
        <v>19843.541639999999</v>
      </c>
      <c r="R61" s="1">
        <v>19644.7716</v>
      </c>
      <c r="S61" s="1">
        <v>25067.74251</v>
      </c>
      <c r="T61" s="1">
        <v>40319.446029999999</v>
      </c>
      <c r="U61" s="1">
        <v>44537.492039999997</v>
      </c>
      <c r="V61" s="1">
        <v>97813.047730000006</v>
      </c>
      <c r="W61" s="1">
        <v>112407.84606</v>
      </c>
      <c r="X61" s="1">
        <v>143629.45449999999</v>
      </c>
      <c r="Y61" s="1">
        <v>158796.10876</v>
      </c>
      <c r="Z61" s="1">
        <v>194754.67</v>
      </c>
      <c r="AA61" s="1">
        <v>231589.54</v>
      </c>
      <c r="AB61" s="1">
        <v>275299.86</v>
      </c>
    </row>
    <row r="62" spans="1:29">
      <c r="A62" s="1">
        <f>VLOOKUP(B62,Legend!$C$32:$D$66,2,FALSE)</f>
        <v>73</v>
      </c>
      <c r="B62" s="1" t="s">
        <v>35</v>
      </c>
      <c r="C62" s="1" t="s">
        <v>87</v>
      </c>
      <c r="D62" s="1">
        <v>20078.8561272232</v>
      </c>
      <c r="E62" s="1">
        <v>19696.223757853601</v>
      </c>
      <c r="F62" s="1">
        <v>19091.4624027711</v>
      </c>
      <c r="G62" s="1">
        <v>19498.864807719001</v>
      </c>
      <c r="H62" s="1">
        <v>32039.3119398325</v>
      </c>
      <c r="I62" s="1">
        <v>37357.709238412397</v>
      </c>
      <c r="J62" s="1">
        <v>38875.315238532799</v>
      </c>
      <c r="K62" s="1">
        <v>49716.894797176203</v>
      </c>
      <c r="L62" s="1">
        <v>44586.759170705198</v>
      </c>
      <c r="M62" s="1">
        <v>38940.122699138898</v>
      </c>
      <c r="N62" s="1">
        <v>58537.974999999999</v>
      </c>
      <c r="O62" s="1">
        <v>52855.571499999998</v>
      </c>
      <c r="P62" s="1">
        <v>51218.349499999997</v>
      </c>
      <c r="Q62" s="1">
        <v>52363.205399999999</v>
      </c>
      <c r="R62" s="1">
        <v>60314.078800000003</v>
      </c>
      <c r="S62" s="1">
        <v>54053.188499999997</v>
      </c>
      <c r="T62" s="1">
        <v>35861.160000000003</v>
      </c>
      <c r="U62" s="1">
        <v>31475.01</v>
      </c>
      <c r="V62" s="1">
        <v>32261.5</v>
      </c>
      <c r="W62" s="1">
        <v>31671.47</v>
      </c>
      <c r="X62" s="1">
        <v>31936.54</v>
      </c>
      <c r="Y62" s="1">
        <v>35722.050000000003</v>
      </c>
      <c r="Z62" s="1">
        <v>49176.72</v>
      </c>
      <c r="AA62" s="1">
        <v>48785.62</v>
      </c>
      <c r="AB62" s="1">
        <v>49903.7</v>
      </c>
    </row>
    <row r="63" spans="1:29">
      <c r="A63" s="1">
        <f>VLOOKUP(B63,Legend!$C$32:$D$66,2,FALSE)</f>
        <v>74</v>
      </c>
      <c r="B63" s="1" t="s">
        <v>37</v>
      </c>
      <c r="C63" s="1" t="s">
        <v>87</v>
      </c>
      <c r="D63" s="1">
        <v>3020.2062627220998</v>
      </c>
      <c r="E63" s="1">
        <v>3103.3615800912398</v>
      </c>
      <c r="F63" s="1">
        <v>3184.17518307103</v>
      </c>
      <c r="G63" s="1">
        <v>3614.7663233511998</v>
      </c>
      <c r="H63" s="1">
        <v>4383.1032357144404</v>
      </c>
      <c r="I63" s="1">
        <v>4818.7450198287297</v>
      </c>
      <c r="J63" s="1">
        <v>8809.7065370019609</v>
      </c>
      <c r="K63" s="1">
        <v>9239.9707238174597</v>
      </c>
      <c r="L63" s="1">
        <v>9035.9382801885295</v>
      </c>
      <c r="M63" s="1">
        <v>9541.9310341302607</v>
      </c>
      <c r="N63" s="1">
        <v>10965.37664</v>
      </c>
      <c r="O63" s="1">
        <v>15382.386189999999</v>
      </c>
      <c r="P63" s="1">
        <v>18720.095570000001</v>
      </c>
      <c r="Q63" s="1">
        <v>19229.505880000001</v>
      </c>
      <c r="R63" s="1">
        <v>14910.2392</v>
      </c>
      <c r="S63" s="1">
        <v>7880.9197000000004</v>
      </c>
      <c r="T63" s="1">
        <v>7141.7824000000001</v>
      </c>
      <c r="U63" s="1">
        <v>8795.4008200000007</v>
      </c>
      <c r="V63" s="1">
        <v>17736.510200000001</v>
      </c>
      <c r="W63" s="1">
        <v>25638.775430000002</v>
      </c>
      <c r="X63" s="1">
        <v>37223.04578</v>
      </c>
      <c r="Y63" s="1">
        <v>59643.398589999997</v>
      </c>
      <c r="Z63" s="1">
        <v>70128.497329999998</v>
      </c>
      <c r="AA63" s="1">
        <v>58497.317450000002</v>
      </c>
      <c r="AB63" s="1">
        <v>55123.116029999997</v>
      </c>
    </row>
    <row r="64" spans="1:29">
      <c r="A64" s="1">
        <f>VLOOKUP(B64,Legend!$C$32:$D$66,2,FALSE)</f>
        <v>75</v>
      </c>
      <c r="B64" s="1" t="s">
        <v>12</v>
      </c>
      <c r="C64" s="1" t="s">
        <v>87</v>
      </c>
      <c r="D64" s="1">
        <v>595.61249523341996</v>
      </c>
      <c r="E64" s="1">
        <v>871.07980666418098</v>
      </c>
      <c r="F64" s="1">
        <v>1078.3719387900801</v>
      </c>
      <c r="G64" s="1">
        <v>1344.2816793893601</v>
      </c>
      <c r="H64" s="1">
        <v>1617.7153566361701</v>
      </c>
      <c r="I64" s="1">
        <v>1948.9089231754001</v>
      </c>
      <c r="J64" s="1">
        <v>2340.97476000705</v>
      </c>
      <c r="K64" s="1">
        <v>2882.7791721185199</v>
      </c>
      <c r="L64" s="1">
        <v>3132.9692593649102</v>
      </c>
      <c r="M64" s="1">
        <v>3069.5880105172801</v>
      </c>
      <c r="N64" s="1">
        <v>3226.69</v>
      </c>
      <c r="O64" s="1">
        <v>3799.53</v>
      </c>
      <c r="P64" s="1">
        <v>4775.88</v>
      </c>
      <c r="Q64" s="1">
        <v>4812.59</v>
      </c>
      <c r="R64" s="1">
        <v>5175.6499999999996</v>
      </c>
      <c r="S64" s="1">
        <v>5327.66</v>
      </c>
      <c r="T64" s="1">
        <v>5083.93</v>
      </c>
      <c r="U64" s="1">
        <v>5383.49</v>
      </c>
      <c r="V64" s="1">
        <v>6135.94</v>
      </c>
      <c r="W64" s="1">
        <v>6254.89</v>
      </c>
      <c r="X64" s="1">
        <v>6102.36</v>
      </c>
      <c r="Y64" s="1">
        <v>6776.3</v>
      </c>
      <c r="Z64" s="1">
        <v>7259.77</v>
      </c>
      <c r="AA64" s="1">
        <v>7737.11</v>
      </c>
      <c r="AB64" s="1">
        <v>8409.6299999999992</v>
      </c>
    </row>
    <row r="65" spans="1:29">
      <c r="A65" s="1">
        <f>VLOOKUP(B65,Legend!$C$32:$D$66,2,FALSE)</f>
        <v>76</v>
      </c>
      <c r="B65" s="1" t="s">
        <v>34</v>
      </c>
      <c r="C65" s="1" t="s">
        <v>87</v>
      </c>
      <c r="H65" s="1">
        <v>4765.8996872276603</v>
      </c>
      <c r="I65" s="1">
        <v>5011.6542432268197</v>
      </c>
      <c r="J65" s="1">
        <v>5344.2541294258099</v>
      </c>
      <c r="K65" s="1">
        <v>5948.28173012759</v>
      </c>
      <c r="L65" s="1">
        <v>6966.18555856683</v>
      </c>
      <c r="M65" s="1">
        <v>7980.31651001707</v>
      </c>
      <c r="N65" s="1">
        <v>9422.2477500000005</v>
      </c>
      <c r="O65" s="1">
        <v>11066.66534</v>
      </c>
      <c r="P65" s="1">
        <v>12400.48041</v>
      </c>
      <c r="Q65" s="1">
        <v>12055.16806</v>
      </c>
      <c r="R65" s="1">
        <v>12379.13667</v>
      </c>
      <c r="S65" s="1">
        <v>13333.211439999999</v>
      </c>
      <c r="T65" s="1">
        <v>13594.55847</v>
      </c>
      <c r="U65" s="1">
        <v>13663.5545</v>
      </c>
      <c r="V65" s="1">
        <v>14816.32559</v>
      </c>
      <c r="W65" s="1">
        <v>15513.337090000001</v>
      </c>
      <c r="X65" s="1">
        <v>14480.49244</v>
      </c>
      <c r="Y65" s="1">
        <v>14668.5852</v>
      </c>
      <c r="Z65" s="1">
        <v>14218.98257</v>
      </c>
      <c r="AA65" s="1">
        <v>14710.169519999999</v>
      </c>
      <c r="AB65" s="1">
        <v>15175</v>
      </c>
    </row>
    <row r="66" spans="1:29">
      <c r="A66" s="1">
        <f>VLOOKUP(B66,Legend!$C$32:$D$66,2,FALSE)</f>
        <v>81</v>
      </c>
      <c r="B66" s="1" t="s">
        <v>13</v>
      </c>
      <c r="C66" s="1" t="s">
        <v>87</v>
      </c>
      <c r="D66" s="1">
        <v>3103.2197101596398</v>
      </c>
      <c r="E66" s="1">
        <v>2823.7778718506402</v>
      </c>
      <c r="F66" s="1">
        <v>2842.2347723964799</v>
      </c>
      <c r="G66" s="1">
        <v>2994.8258621109699</v>
      </c>
      <c r="H66" s="1">
        <v>3118.1104335417199</v>
      </c>
      <c r="I66" s="1">
        <v>3233.5156465331602</v>
      </c>
      <c r="J66" s="1">
        <v>3453.5090346311299</v>
      </c>
      <c r="K66" s="1">
        <v>3773.0307134169202</v>
      </c>
      <c r="L66" s="1">
        <v>3960.2071605040101</v>
      </c>
      <c r="M66" s="1">
        <v>4062.4626783307799</v>
      </c>
      <c r="N66" s="1">
        <v>4533.9192599999997</v>
      </c>
      <c r="O66" s="1">
        <v>4417.1660099999999</v>
      </c>
      <c r="P66" s="1">
        <v>5376.0405099999998</v>
      </c>
      <c r="Q66" s="1">
        <v>5835.6938600000003</v>
      </c>
      <c r="R66" s="1">
        <v>5189.1781899999996</v>
      </c>
      <c r="S66" s="1">
        <v>5183.5487800000001</v>
      </c>
      <c r="T66" s="1">
        <v>5403.5587400000004</v>
      </c>
      <c r="U66" s="1">
        <v>5347.3847800000003</v>
      </c>
      <c r="V66" s="1">
        <v>4771.4345000000003</v>
      </c>
      <c r="W66" s="1">
        <v>3985.17722</v>
      </c>
      <c r="X66" s="1">
        <v>2791.8851500000001</v>
      </c>
      <c r="Y66" s="1">
        <v>4043.7156199999999</v>
      </c>
      <c r="Z66" s="1">
        <v>4787.5938299999998</v>
      </c>
      <c r="AA66" s="1">
        <v>4128.3143700000001</v>
      </c>
      <c r="AB66" s="1">
        <v>145.72</v>
      </c>
    </row>
    <row r="67" spans="1:29">
      <c r="A67" s="1">
        <f>VLOOKUP(B67,Legend!$C$32:$D$66,2,FALSE)</f>
        <v>82</v>
      </c>
      <c r="B67" s="1" t="s">
        <v>30</v>
      </c>
      <c r="C67" s="1" t="s">
        <v>87</v>
      </c>
      <c r="D67" s="1">
        <v>2493.0024097007913</v>
      </c>
      <c r="E67" s="1">
        <v>1961.3184196677846</v>
      </c>
      <c r="F67" s="1">
        <v>2186.9361338278859</v>
      </c>
      <c r="G67" s="1">
        <v>2120.6719496864184</v>
      </c>
      <c r="H67" s="1">
        <v>2568.0848690152884</v>
      </c>
      <c r="I67" s="1">
        <v>2803.755286925249</v>
      </c>
      <c r="J67" s="1">
        <v>3121.1066274215746</v>
      </c>
      <c r="K67" s="1">
        <v>3424.3147589874502</v>
      </c>
      <c r="L67" s="1">
        <v>3783.526938311637</v>
      </c>
      <c r="M67" s="1">
        <v>4246.934780265301</v>
      </c>
      <c r="N67" s="1">
        <v>4828.1703500000003</v>
      </c>
      <c r="O67" s="1">
        <v>8253.7244300000002</v>
      </c>
      <c r="P67" s="1">
        <v>8503.78406</v>
      </c>
      <c r="Q67" s="1">
        <v>11056.88925</v>
      </c>
      <c r="R67" s="1">
        <v>12921.49358</v>
      </c>
      <c r="S67" s="1">
        <v>17340.156370000001</v>
      </c>
      <c r="T67" s="1">
        <v>19673.826519999999</v>
      </c>
      <c r="U67" s="1">
        <v>21690.299440000003</v>
      </c>
      <c r="V67" s="1">
        <v>16573.868619999997</v>
      </c>
      <c r="W67" s="1">
        <v>17924.384149999998</v>
      </c>
      <c r="X67" s="1">
        <v>23485.47</v>
      </c>
      <c r="Y67" s="1">
        <v>59454.28</v>
      </c>
      <c r="Z67" s="1">
        <v>100079.9508921222</v>
      </c>
      <c r="AA67" s="1">
        <v>128777.79175665505</v>
      </c>
      <c r="AB67" s="1">
        <v>143150.73952769037</v>
      </c>
      <c r="AC67" s="1">
        <v>200764.13371212807</v>
      </c>
    </row>
    <row r="68" spans="1:29">
      <c r="A68" s="1">
        <f>VLOOKUP(B68,Legend!$C$32:$D$66,2,FALSE)</f>
        <v>91</v>
      </c>
      <c r="B68" s="1" t="s">
        <v>33</v>
      </c>
      <c r="C68" s="1" t="s">
        <v>87</v>
      </c>
      <c r="F68" s="1">
        <v>16685.047426785299</v>
      </c>
      <c r="G68" s="1">
        <v>16598.4806729023</v>
      </c>
      <c r="H68" s="1">
        <v>15862.0502505818</v>
      </c>
      <c r="I68" s="1">
        <v>19525.481264345501</v>
      </c>
      <c r="J68" s="1">
        <v>21680.559584572398</v>
      </c>
      <c r="K68" s="1">
        <v>21718.530473476101</v>
      </c>
      <c r="L68" s="1">
        <v>20201.975478466898</v>
      </c>
      <c r="M68" s="1">
        <v>17709.774635053102</v>
      </c>
      <c r="N68" s="1">
        <v>31529.453699999998</v>
      </c>
      <c r="O68" s="1">
        <v>24562.90077</v>
      </c>
      <c r="P68" s="1">
        <v>30602.477500000001</v>
      </c>
      <c r="Q68" s="1">
        <v>30182.3547</v>
      </c>
      <c r="R68" s="1">
        <v>35334.415029999996</v>
      </c>
      <c r="S68" s="1">
        <v>40438.385929999997</v>
      </c>
      <c r="T68" s="1">
        <v>39446.298419999999</v>
      </c>
      <c r="U68" s="1">
        <v>42688.116909999997</v>
      </c>
      <c r="V68" s="1">
        <v>49488.553879999999</v>
      </c>
      <c r="W68" s="1">
        <v>47314.461609999998</v>
      </c>
      <c r="X68" s="1">
        <v>45934.783009999999</v>
      </c>
      <c r="Y68" s="1">
        <v>41019.720930000003</v>
      </c>
      <c r="Z68" s="1">
        <v>54213.34</v>
      </c>
      <c r="AA68" s="1">
        <v>43371.21</v>
      </c>
      <c r="AB68" s="1">
        <v>50068.61</v>
      </c>
      <c r="AC68" s="1">
        <v>555.32000000000005</v>
      </c>
    </row>
    <row r="69" spans="1:29">
      <c r="A69" s="1">
        <f>VLOOKUP(B69,Legend!$C$32:$D$66,2,FALSE)</f>
        <v>94</v>
      </c>
      <c r="B69" s="1" t="s">
        <v>14</v>
      </c>
      <c r="C69" s="1" t="s">
        <v>87</v>
      </c>
      <c r="D69" s="1">
        <v>56393.052750966803</v>
      </c>
      <c r="E69" s="1">
        <v>57343.511117088499</v>
      </c>
      <c r="F69" s="1">
        <v>51548.662378071902</v>
      </c>
      <c r="G69" s="1">
        <v>58350.256241032199</v>
      </c>
      <c r="H69" s="1">
        <v>45225.489187618798</v>
      </c>
      <c r="I69" s="1">
        <v>50917.073585056598</v>
      </c>
      <c r="J69" s="1">
        <v>52849.598722310802</v>
      </c>
      <c r="K69" s="1">
        <v>47522.113161039902</v>
      </c>
      <c r="L69" s="1">
        <v>43592.815427984599</v>
      </c>
      <c r="M69" s="1">
        <v>51590.984572292902</v>
      </c>
      <c r="N69" s="1">
        <v>46999.046912999998</v>
      </c>
      <c r="O69" s="1">
        <v>33910.145840750003</v>
      </c>
      <c r="P69" s="1">
        <v>24281.055263990002</v>
      </c>
      <c r="Q69" s="1">
        <v>32143.11906864</v>
      </c>
      <c r="R69" s="1">
        <v>17091.17105329</v>
      </c>
      <c r="S69" s="1">
        <v>23736.758290000002</v>
      </c>
      <c r="T69" s="1">
        <v>25377.053599999999</v>
      </c>
      <c r="U69" s="1">
        <v>24016.292440000001</v>
      </c>
      <c r="V69" s="1">
        <v>33517.562740000001</v>
      </c>
      <c r="W69" s="1">
        <v>10533.485650000001</v>
      </c>
      <c r="X69" s="1">
        <v>15901.65645</v>
      </c>
      <c r="Y69" s="1">
        <v>28341.608960000001</v>
      </c>
      <c r="Z69" s="1">
        <v>106054.73405000001</v>
      </c>
      <c r="AA69" s="1">
        <v>108861.6312</v>
      </c>
      <c r="AB69" s="1">
        <v>134900.36000000002</v>
      </c>
    </row>
    <row r="70" spans="1:29">
      <c r="A70" s="1">
        <f>VLOOKUP(B70,Legend!$C$32:$D$66,2,FALSE)</f>
        <v>11</v>
      </c>
      <c r="B70" s="1" t="s">
        <v>3</v>
      </c>
      <c r="C70" s="1" t="s">
        <v>89</v>
      </c>
      <c r="D70" s="1">
        <v>9862.5385010689606</v>
      </c>
      <c r="E70" s="1">
        <v>12692.9510538349</v>
      </c>
      <c r="F70" s="1">
        <v>22373.815373947698</v>
      </c>
      <c r="G70" s="1">
        <v>14328.230862861499</v>
      </c>
      <c r="H70" s="1">
        <v>14641.3561191272</v>
      </c>
      <c r="I70" s="1">
        <v>27776.414573158701</v>
      </c>
      <c r="J70" s="1">
        <v>26035.113247051901</v>
      </c>
      <c r="K70" s="1">
        <v>28495.075493989701</v>
      </c>
      <c r="L70" s="1">
        <v>29222.293439018598</v>
      </c>
      <c r="M70" s="1">
        <v>28706.8847583713</v>
      </c>
      <c r="N70" s="1">
        <v>29766.57404</v>
      </c>
      <c r="O70" s="1">
        <v>32980.775860000002</v>
      </c>
      <c r="P70" s="1">
        <v>34901.818789999998</v>
      </c>
      <c r="Q70" s="1">
        <v>34736.027049999997</v>
      </c>
      <c r="R70" s="1">
        <v>36571.542849999998</v>
      </c>
      <c r="S70" s="1">
        <v>37892.086049999998</v>
      </c>
      <c r="T70" s="1">
        <v>40598.054960000001</v>
      </c>
      <c r="U70" s="1">
        <v>39421.958400000003</v>
      </c>
      <c r="V70" s="1">
        <v>40769.450859999997</v>
      </c>
      <c r="W70" s="1">
        <v>43513.913809999998</v>
      </c>
      <c r="X70" s="1">
        <v>45045.624539999997</v>
      </c>
      <c r="Y70" s="1">
        <v>45438.247730000003</v>
      </c>
      <c r="Z70" s="1">
        <v>45103.70448</v>
      </c>
      <c r="AA70" s="1">
        <v>47746.94</v>
      </c>
      <c r="AB70" s="1">
        <v>49982.89</v>
      </c>
      <c r="AC70" s="1">
        <v>49237.05</v>
      </c>
    </row>
    <row r="71" spans="1:29">
      <c r="A71" s="1">
        <f>VLOOKUP(B71,Legend!$C$32:$D$66,2,FALSE)</f>
        <v>12</v>
      </c>
      <c r="B71" s="1" t="s">
        <v>41</v>
      </c>
      <c r="C71" s="1" t="s">
        <v>89</v>
      </c>
      <c r="D71" s="1">
        <v>45469.7787267401</v>
      </c>
      <c r="E71" s="1">
        <v>42978.361109947997</v>
      </c>
      <c r="F71" s="1">
        <v>51400.901872444498</v>
      </c>
      <c r="G71" s="1">
        <v>52155.042234120403</v>
      </c>
      <c r="H71" s="1">
        <v>55799.463537814103</v>
      </c>
      <c r="I71" s="1">
        <v>62272.679100045701</v>
      </c>
      <c r="J71" s="1">
        <v>70589.374577184106</v>
      </c>
      <c r="K71" s="1">
        <v>79966.553981676596</v>
      </c>
      <c r="L71" s="1">
        <v>88863.9471569952</v>
      </c>
      <c r="M71" s="1">
        <v>94844.285557641997</v>
      </c>
      <c r="N71" s="1">
        <v>99539.596990000005</v>
      </c>
      <c r="O71" s="1">
        <v>105474.67726</v>
      </c>
      <c r="P71" s="1">
        <v>114503.15561</v>
      </c>
      <c r="Q71" s="1">
        <v>120436.36345999999</v>
      </c>
      <c r="R71" s="1">
        <v>124148.5732</v>
      </c>
      <c r="S71" s="1">
        <v>128952.21226</v>
      </c>
      <c r="T71" s="1">
        <v>135207.97812000001</v>
      </c>
      <c r="U71" s="1">
        <v>142013.72639</v>
      </c>
      <c r="V71" s="1">
        <v>150803.36597000001</v>
      </c>
      <c r="W71" s="1">
        <v>163244.13321999999</v>
      </c>
      <c r="X71" s="1">
        <v>161327.63975999999</v>
      </c>
      <c r="Y71" s="1">
        <v>166914.74463999999</v>
      </c>
      <c r="Z71" s="1">
        <v>173314.81318</v>
      </c>
      <c r="AA71" s="1">
        <v>181084.17</v>
      </c>
      <c r="AB71" s="1">
        <v>190051.09</v>
      </c>
      <c r="AC71" s="1">
        <v>191108.51</v>
      </c>
    </row>
    <row r="72" spans="1:29">
      <c r="A72" s="1">
        <f>VLOOKUP(B72,Legend!$C$32:$D$66,2,FALSE)</f>
        <v>13</v>
      </c>
      <c r="B72" s="1" t="s">
        <v>39</v>
      </c>
      <c r="C72" s="1" t="s">
        <v>89</v>
      </c>
      <c r="D72" s="1">
        <v>20087.018681046098</v>
      </c>
      <c r="E72" s="1">
        <v>20301.949152945301</v>
      </c>
      <c r="F72" s="1">
        <v>20513.729097342999</v>
      </c>
      <c r="G72" s="1">
        <v>21151.3221426071</v>
      </c>
      <c r="H72" s="1">
        <v>21823.934194595098</v>
      </c>
      <c r="I72" s="1">
        <v>23096.815119375999</v>
      </c>
      <c r="J72" s="1">
        <v>24024.913874499998</v>
      </c>
      <c r="K72" s="1">
        <v>24966.371025692701</v>
      </c>
      <c r="L72" s="1">
        <v>26285.0028634628</v>
      </c>
      <c r="M72" s="1">
        <v>27588.057943207401</v>
      </c>
      <c r="N72" s="1">
        <v>30696.804530000001</v>
      </c>
      <c r="O72" s="1">
        <v>34097.668830000002</v>
      </c>
      <c r="P72" s="1">
        <v>36280.809789999999</v>
      </c>
      <c r="Q72" s="1">
        <v>37957.415970000002</v>
      </c>
      <c r="R72" s="1">
        <v>39883.15019</v>
      </c>
      <c r="S72" s="1">
        <v>41609.41229</v>
      </c>
      <c r="T72" s="1">
        <v>44221.668579999998</v>
      </c>
      <c r="U72" s="1">
        <v>46182.46675</v>
      </c>
      <c r="V72" s="1">
        <v>47807.313450000001</v>
      </c>
      <c r="W72" s="1">
        <v>50275.295039999997</v>
      </c>
      <c r="X72" s="1">
        <v>48919.50649</v>
      </c>
      <c r="Y72" s="1">
        <v>49492.17067</v>
      </c>
      <c r="Z72" s="1">
        <v>51368.567369999997</v>
      </c>
      <c r="AA72" s="1">
        <v>55330.81</v>
      </c>
      <c r="AB72" s="1">
        <v>57300.53</v>
      </c>
      <c r="AC72" s="1">
        <v>56249.97</v>
      </c>
    </row>
    <row r="73" spans="1:29">
      <c r="A73" s="1">
        <f>VLOOKUP(B73,Legend!$C$32:$D$66,2,FALSE)</f>
        <v>14</v>
      </c>
      <c r="B73" s="1" t="s">
        <v>4</v>
      </c>
      <c r="C73" s="1" t="s">
        <v>89</v>
      </c>
      <c r="D73" s="1">
        <v>59963.011834747798</v>
      </c>
      <c r="E73" s="1">
        <v>72856.367832921795</v>
      </c>
      <c r="F73" s="1">
        <v>85717.341119737393</v>
      </c>
      <c r="G73" s="1">
        <v>56675.238265727203</v>
      </c>
      <c r="H73" s="1">
        <v>62274.081445774798</v>
      </c>
      <c r="I73" s="1">
        <v>65989.330942490997</v>
      </c>
      <c r="J73" s="1">
        <v>68895.795540443403</v>
      </c>
      <c r="K73" s="1">
        <v>73356.530695199603</v>
      </c>
      <c r="L73" s="1">
        <v>80490.366798269402</v>
      </c>
      <c r="M73" s="1">
        <v>87748.892721765995</v>
      </c>
      <c r="N73" s="1">
        <v>95152.51324</v>
      </c>
      <c r="O73" s="1">
        <v>110722.0249</v>
      </c>
      <c r="P73" s="1">
        <v>120978.85646</v>
      </c>
      <c r="Q73" s="1">
        <v>127338.48349</v>
      </c>
      <c r="R73" s="1">
        <v>129639.72816</v>
      </c>
      <c r="S73" s="1">
        <v>134850.26044000001</v>
      </c>
      <c r="T73" s="1">
        <v>139706.38913</v>
      </c>
      <c r="U73" s="1">
        <v>141710.51902000001</v>
      </c>
      <c r="V73" s="1">
        <v>147050.83738000001</v>
      </c>
      <c r="W73" s="1">
        <v>150885.02611999999</v>
      </c>
      <c r="X73" s="1">
        <v>148133.66685000001</v>
      </c>
      <c r="Y73" s="1">
        <v>153996.36655999999</v>
      </c>
      <c r="Z73" s="1">
        <v>163041.33413</v>
      </c>
      <c r="AA73" s="1">
        <v>171020.32</v>
      </c>
      <c r="AB73" s="1">
        <v>176944.01</v>
      </c>
      <c r="AC73" s="1">
        <v>181244.59</v>
      </c>
    </row>
    <row r="74" spans="1:29">
      <c r="A74" s="1">
        <f>VLOOKUP(B74,Legend!$C$32:$D$66,2,FALSE)</f>
        <v>15</v>
      </c>
      <c r="B74" s="1" t="s">
        <v>5</v>
      </c>
      <c r="C74" s="1" t="s">
        <v>89</v>
      </c>
      <c r="D74" s="1">
        <v>10436.5264458725</v>
      </c>
      <c r="E74" s="1">
        <v>12341.1336695348</v>
      </c>
      <c r="F74" s="1">
        <v>12658.3589354798</v>
      </c>
      <c r="G74" s="1">
        <v>13706.4996038397</v>
      </c>
      <c r="H74" s="1">
        <v>15128.462900007</v>
      </c>
      <c r="I74" s="1">
        <v>14564.563334718599</v>
      </c>
      <c r="J74" s="1">
        <v>16754.1764504245</v>
      </c>
      <c r="K74" s="1">
        <v>18015.186126753899</v>
      </c>
      <c r="L74" s="1">
        <v>19579.0758375521</v>
      </c>
      <c r="M74" s="1">
        <v>20212.382546069799</v>
      </c>
      <c r="N74" s="1">
        <v>21601.723040000001</v>
      </c>
      <c r="O74" s="1">
        <v>21571.040089999999</v>
      </c>
      <c r="P74" s="1">
        <v>25926.187730000001</v>
      </c>
      <c r="Q74" s="1">
        <v>28266.69152</v>
      </c>
      <c r="R74" s="1">
        <v>28117.165270000001</v>
      </c>
      <c r="S74" s="1">
        <v>27834.648560000001</v>
      </c>
      <c r="T74" s="1">
        <v>29038.98733</v>
      </c>
      <c r="U74" s="1">
        <v>30127.534479999998</v>
      </c>
      <c r="V74" s="1">
        <v>30777.9915</v>
      </c>
      <c r="W74" s="1">
        <v>31894.295770000001</v>
      </c>
      <c r="X74" s="1">
        <v>32226.99</v>
      </c>
      <c r="Y74" s="1">
        <v>35215.517740000003</v>
      </c>
      <c r="Z74" s="1">
        <v>36100.051290000003</v>
      </c>
      <c r="AA74" s="1">
        <v>39667.379999999997</v>
      </c>
      <c r="AB74" s="1">
        <v>42357.57</v>
      </c>
      <c r="AC74" s="1">
        <v>42622.42</v>
      </c>
    </row>
    <row r="75" spans="1:29">
      <c r="A75" s="1">
        <f>VLOOKUP(B75,Legend!$C$32:$D$66,2,FALSE)</f>
        <v>16</v>
      </c>
      <c r="B75" s="1" t="s">
        <v>40</v>
      </c>
      <c r="C75" s="1" t="s">
        <v>89</v>
      </c>
      <c r="D75" s="1">
        <v>38878.512518536103</v>
      </c>
      <c r="E75" s="1">
        <v>40499.741971859403</v>
      </c>
      <c r="F75" s="1">
        <v>42354.550941395297</v>
      </c>
      <c r="G75" s="1">
        <v>45433.728548102401</v>
      </c>
      <c r="H75" s="1">
        <v>50136.1203436777</v>
      </c>
      <c r="I75" s="1">
        <v>53450.116022794398</v>
      </c>
      <c r="J75" s="1">
        <v>56768.101477201002</v>
      </c>
      <c r="K75" s="1">
        <v>62362.289266883803</v>
      </c>
      <c r="L75" s="1">
        <v>66583.984204717897</v>
      </c>
      <c r="M75" s="1">
        <v>70223.293775416503</v>
      </c>
      <c r="N75" s="1">
        <v>76364.638789999997</v>
      </c>
      <c r="O75" s="1">
        <v>80495.866380000007</v>
      </c>
      <c r="P75" s="1">
        <v>85219.8946</v>
      </c>
      <c r="Q75" s="1">
        <v>89260.412769999995</v>
      </c>
      <c r="R75" s="1">
        <v>93404.413750000007</v>
      </c>
      <c r="S75" s="1">
        <v>93638.157940000005</v>
      </c>
      <c r="T75" s="1">
        <v>101309.89702999999</v>
      </c>
      <c r="U75" s="1">
        <v>107287.53764</v>
      </c>
      <c r="V75" s="1">
        <v>111301.18479</v>
      </c>
      <c r="W75" s="1">
        <v>113186.3367</v>
      </c>
      <c r="X75" s="1">
        <v>114605.19014999999</v>
      </c>
      <c r="Y75" s="1">
        <v>111007.10127</v>
      </c>
      <c r="Z75" s="1">
        <v>108306.9188</v>
      </c>
      <c r="AA75" s="1">
        <v>110986.58</v>
      </c>
      <c r="AB75" s="1">
        <v>115875.99</v>
      </c>
      <c r="AC75" s="1">
        <v>119081.60000000001</v>
      </c>
    </row>
    <row r="76" spans="1:29">
      <c r="A76" s="1">
        <f>VLOOKUP(B76,Legend!$C$32:$D$66,2,FALSE)</f>
        <v>17</v>
      </c>
      <c r="B76" s="1" t="s">
        <v>6</v>
      </c>
      <c r="C76" s="1" t="s">
        <v>89</v>
      </c>
      <c r="D76" s="1">
        <v>5064.7565795371802</v>
      </c>
      <c r="E76" s="1">
        <v>5189.0037315886702</v>
      </c>
      <c r="F76" s="1">
        <v>5401.8964478922899</v>
      </c>
      <c r="G76" s="1">
        <v>5617.7067086570396</v>
      </c>
      <c r="H76" s="1">
        <v>5981.04159904892</v>
      </c>
      <c r="I76" s="1">
        <v>6675.2536977026302</v>
      </c>
      <c r="J76" s="1">
        <v>7086.1244418146198</v>
      </c>
      <c r="K76" s="1">
        <v>9524.1010533192402</v>
      </c>
      <c r="L76" s="1">
        <v>10401.2708560556</v>
      </c>
      <c r="M76" s="1">
        <v>10934.940417755301</v>
      </c>
      <c r="N76" s="1">
        <v>11578.47741</v>
      </c>
      <c r="O76" s="1">
        <v>12596.43662</v>
      </c>
      <c r="P76" s="1">
        <v>13674.62976</v>
      </c>
      <c r="Q76" s="1">
        <v>14819.65244</v>
      </c>
      <c r="R76" s="1">
        <v>16014.02773</v>
      </c>
      <c r="S76" s="1">
        <v>16572.90382</v>
      </c>
      <c r="T76" s="1">
        <v>17404.345219999999</v>
      </c>
      <c r="U76" s="1">
        <v>18463.146570000001</v>
      </c>
      <c r="V76" s="1">
        <v>19497.27205</v>
      </c>
      <c r="W76" s="1">
        <v>20471.499090000001</v>
      </c>
      <c r="X76" s="1">
        <v>20134.107400000001</v>
      </c>
      <c r="Y76" s="1">
        <v>20964.696639999998</v>
      </c>
      <c r="Z76" s="1">
        <v>21695.68564</v>
      </c>
      <c r="AA76" s="1">
        <v>22383.1</v>
      </c>
      <c r="AB76" s="1">
        <v>23024.5</v>
      </c>
      <c r="AC76" s="1">
        <v>23827.83</v>
      </c>
    </row>
    <row r="77" spans="1:29">
      <c r="A77" s="1">
        <f>VLOOKUP(B77,Legend!$C$32:$D$66,2,FALSE)</f>
        <v>18</v>
      </c>
      <c r="B77" s="1" t="s">
        <v>7</v>
      </c>
      <c r="C77" s="1" t="s">
        <v>89</v>
      </c>
      <c r="D77" s="1">
        <v>30448.188188526099</v>
      </c>
      <c r="E77" s="1">
        <v>29075.8171052535</v>
      </c>
      <c r="F77" s="1">
        <v>32799.965550648798</v>
      </c>
      <c r="G77" s="1">
        <v>32653.291225751898</v>
      </c>
      <c r="H77" s="1">
        <v>31681.1982312818</v>
      </c>
      <c r="I77" s="1">
        <v>34925.950317484603</v>
      </c>
      <c r="J77" s="1">
        <v>35793.165169571701</v>
      </c>
      <c r="K77" s="1">
        <v>37697.674995400201</v>
      </c>
      <c r="L77" s="1">
        <v>39515.496943307502</v>
      </c>
      <c r="M77" s="1">
        <v>41024.424167601399</v>
      </c>
      <c r="N77" s="1">
        <v>43927.326540000002</v>
      </c>
      <c r="O77" s="1">
        <v>49058.861360000003</v>
      </c>
      <c r="P77" s="1">
        <v>53646.82387</v>
      </c>
      <c r="Q77" s="1">
        <v>55690.804660000002</v>
      </c>
      <c r="R77" s="1">
        <v>58841.761149999998</v>
      </c>
      <c r="S77" s="1">
        <v>62035.81985</v>
      </c>
      <c r="T77" s="1">
        <v>67779.395640000002</v>
      </c>
      <c r="U77" s="1">
        <v>72861.897830000002</v>
      </c>
      <c r="V77" s="1">
        <v>79145.388699999996</v>
      </c>
      <c r="W77" s="1">
        <v>82804.963250000001</v>
      </c>
      <c r="X77" s="1">
        <v>78790.293210000003</v>
      </c>
      <c r="Y77" s="1">
        <v>81913.307620000007</v>
      </c>
      <c r="Z77" s="1">
        <v>83896.770699999994</v>
      </c>
      <c r="AA77" s="1">
        <v>87373.16</v>
      </c>
      <c r="AB77" s="1">
        <v>88928.18</v>
      </c>
      <c r="AC77" s="1">
        <v>93620.1</v>
      </c>
    </row>
    <row r="78" spans="1:29">
      <c r="A78" s="1">
        <f>VLOOKUP(B78,Legend!$C$32:$D$66,2,FALSE)</f>
        <v>19</v>
      </c>
      <c r="B78" s="1" t="s">
        <v>28</v>
      </c>
      <c r="C78" s="1" t="s">
        <v>89</v>
      </c>
      <c r="D78" s="1">
        <v>2700.3037026334</v>
      </c>
      <c r="E78" s="1">
        <v>3045.8727583124701</v>
      </c>
      <c r="F78" s="1">
        <v>3035.56798776302</v>
      </c>
      <c r="G78" s="1">
        <v>3709.75128186756</v>
      </c>
      <c r="H78" s="1">
        <v>5460.1553747329599</v>
      </c>
      <c r="I78" s="1">
        <v>5801.4512227241903</v>
      </c>
      <c r="J78" s="1">
        <v>5331.4282747656198</v>
      </c>
      <c r="K78" s="1">
        <v>6188.6976781706999</v>
      </c>
      <c r="L78" s="1">
        <v>6899.4419921461003</v>
      </c>
      <c r="M78" s="1">
        <v>7141.4457703585504</v>
      </c>
      <c r="N78" s="1">
        <v>7515.7222599999996</v>
      </c>
      <c r="O78" s="1">
        <v>8147.1339799999996</v>
      </c>
      <c r="P78" s="1">
        <v>8550.06185</v>
      </c>
      <c r="Q78" s="1">
        <v>8970.0596000000005</v>
      </c>
      <c r="R78" s="1">
        <v>9408.0275099999999</v>
      </c>
      <c r="S78" s="1">
        <v>9823.5325699999994</v>
      </c>
      <c r="T78" s="1">
        <v>10450.944740000001</v>
      </c>
      <c r="U78" s="1">
        <v>11111.340190000001</v>
      </c>
      <c r="V78" s="1">
        <v>11779.865400000001</v>
      </c>
      <c r="W78" s="1">
        <v>12453.338159999999</v>
      </c>
      <c r="X78" s="1">
        <v>11633.48403</v>
      </c>
      <c r="Y78" s="1">
        <v>12013.6361</v>
      </c>
      <c r="Z78" s="1">
        <v>12412.52838</v>
      </c>
      <c r="AA78" s="1">
        <v>13018.46</v>
      </c>
      <c r="AB78" s="1">
        <v>12916.29</v>
      </c>
      <c r="AC78" s="1">
        <v>12871.75</v>
      </c>
    </row>
    <row r="79" spans="1:29">
      <c r="A79" s="1">
        <f>VLOOKUP(B79,Legend!$C$32:$D$66,2,FALSE)</f>
        <v>21</v>
      </c>
      <c r="B79" s="1" t="s">
        <v>29</v>
      </c>
      <c r="C79" s="1" t="s">
        <v>89</v>
      </c>
      <c r="G79" s="1">
        <v>36857.376912162697</v>
      </c>
      <c r="H79" s="1">
        <v>37873.569963217997</v>
      </c>
      <c r="I79" s="1">
        <v>16728.610481784901</v>
      </c>
      <c r="J79" s="1">
        <v>19716.682567698601</v>
      </c>
      <c r="K79" s="1">
        <v>25039.858298648702</v>
      </c>
      <c r="L79" s="1">
        <v>32395.717694235202</v>
      </c>
      <c r="M79" s="1">
        <v>37301.547285287998</v>
      </c>
      <c r="N79" s="1">
        <v>45350.313439999998</v>
      </c>
      <c r="O79" s="1">
        <v>48421.857600000003</v>
      </c>
      <c r="P79" s="1">
        <v>52069.670969999999</v>
      </c>
      <c r="Q79" s="1">
        <v>55515.327770000004</v>
      </c>
      <c r="R79" s="1">
        <v>58731.612350000003</v>
      </c>
      <c r="S79" s="1">
        <v>60637.95897</v>
      </c>
      <c r="T79" s="1">
        <v>62584.779730000002</v>
      </c>
      <c r="U79" s="1">
        <v>63509.216359999999</v>
      </c>
      <c r="V79" s="1">
        <v>69262.923720000006</v>
      </c>
      <c r="W79" s="1">
        <v>73447.469320000004</v>
      </c>
      <c r="X79" s="1">
        <v>69792.412379999994</v>
      </c>
      <c r="Y79" s="1">
        <v>72042.689580000006</v>
      </c>
      <c r="Z79" s="1">
        <v>74944.810259999998</v>
      </c>
      <c r="AA79" s="1">
        <v>81476.94</v>
      </c>
      <c r="AB79" s="1">
        <v>86579.47</v>
      </c>
      <c r="AC79" s="1">
        <v>92478.32</v>
      </c>
    </row>
    <row r="80" spans="1:29">
      <c r="A80" s="1">
        <f>VLOOKUP(B80,Legend!$C$32:$D$66,2,FALSE)</f>
        <v>31</v>
      </c>
      <c r="B80" s="1" t="s">
        <v>8</v>
      </c>
      <c r="C80" s="1" t="s">
        <v>89</v>
      </c>
      <c r="D80" s="1">
        <v>291773.696726561</v>
      </c>
      <c r="E80" s="1">
        <v>287741.51846311899</v>
      </c>
      <c r="F80" s="1">
        <v>289361.63567892398</v>
      </c>
      <c r="G80" s="1">
        <v>291885.580437203</v>
      </c>
      <c r="H80" s="1">
        <v>332478.73155232897</v>
      </c>
      <c r="I80" s="1">
        <v>364173.271819029</v>
      </c>
      <c r="J80" s="1">
        <v>379684.89843159</v>
      </c>
      <c r="K80" s="1">
        <v>405198.46633585601</v>
      </c>
      <c r="L80" s="1">
        <v>439598.24420207198</v>
      </c>
      <c r="M80" s="1">
        <v>451735.75360135199</v>
      </c>
      <c r="N80" s="1">
        <v>491549.14801</v>
      </c>
      <c r="O80" s="1">
        <v>533589.46080999996</v>
      </c>
      <c r="P80" s="1">
        <v>585571.04700000002</v>
      </c>
      <c r="Q80" s="1">
        <v>618800.67409999995</v>
      </c>
      <c r="R80" s="1">
        <v>637777.69790000003</v>
      </c>
      <c r="S80" s="1">
        <v>654605.15599</v>
      </c>
      <c r="T80" s="1">
        <v>664738.68654999998</v>
      </c>
      <c r="U80" s="1">
        <v>704826.28642000002</v>
      </c>
      <c r="V80" s="1">
        <v>737769.03086000006</v>
      </c>
      <c r="W80" s="1">
        <v>747263.48088000005</v>
      </c>
      <c r="X80" s="1">
        <v>695137.41651999997</v>
      </c>
      <c r="Y80" s="1">
        <v>702452.34595999995</v>
      </c>
      <c r="Z80" s="1">
        <v>734191.60811000003</v>
      </c>
      <c r="AA80" s="1">
        <v>762885.9</v>
      </c>
      <c r="AB80" s="1">
        <v>802516.25</v>
      </c>
      <c r="AC80" s="1">
        <v>840775.58</v>
      </c>
    </row>
    <row r="81" spans="1:29">
      <c r="A81" s="1">
        <f>VLOOKUP(B81,Legend!$C$32:$D$66,2,FALSE)</f>
        <v>32</v>
      </c>
      <c r="B81" s="1" t="s">
        <v>21</v>
      </c>
      <c r="C81" s="1" t="s">
        <v>89</v>
      </c>
      <c r="D81" s="1">
        <v>121931.97204500499</v>
      </c>
      <c r="E81" s="1">
        <v>126796.13736831299</v>
      </c>
      <c r="F81" s="1">
        <v>129957.80093053701</v>
      </c>
      <c r="G81" s="1">
        <v>136648.01125217901</v>
      </c>
      <c r="H81" s="1">
        <v>150757.63326437099</v>
      </c>
      <c r="I81" s="1">
        <v>168804.896019651</v>
      </c>
      <c r="J81" s="1">
        <v>174280.402282439</v>
      </c>
      <c r="K81" s="1">
        <v>190544.35999323201</v>
      </c>
      <c r="L81" s="1">
        <v>199641.54344253201</v>
      </c>
      <c r="M81" s="1">
        <v>209493.86384127001</v>
      </c>
      <c r="N81" s="1">
        <v>221524.23678000001</v>
      </c>
      <c r="O81" s="1">
        <v>245323.57091000001</v>
      </c>
      <c r="P81" s="1">
        <v>271070.79576000001</v>
      </c>
      <c r="Q81" s="1">
        <v>268318.28086</v>
      </c>
      <c r="R81" s="1">
        <v>287389.54976000002</v>
      </c>
      <c r="S81" s="1">
        <v>299342.63838999998</v>
      </c>
      <c r="T81" s="1">
        <v>313083.69585000002</v>
      </c>
      <c r="U81" s="1">
        <v>332750.60726000002</v>
      </c>
      <c r="V81" s="1">
        <v>352312.42229000002</v>
      </c>
      <c r="W81" s="1">
        <v>366760.22415999998</v>
      </c>
      <c r="X81" s="1">
        <v>336213.71750999999</v>
      </c>
      <c r="Y81" s="1">
        <v>357977.87703999999</v>
      </c>
      <c r="Z81" s="1">
        <v>359006.09733999998</v>
      </c>
      <c r="AA81" s="1">
        <v>386751.79</v>
      </c>
      <c r="AB81" s="1">
        <v>413661.87</v>
      </c>
      <c r="AC81" s="1">
        <v>435547.55</v>
      </c>
    </row>
    <row r="82" spans="1:29">
      <c r="A82" s="1">
        <f>VLOOKUP(B82,Legend!$C$32:$D$66,2,FALSE)</f>
        <v>33</v>
      </c>
      <c r="B82" s="1" t="s">
        <v>22</v>
      </c>
      <c r="C82" s="1" t="s">
        <v>89</v>
      </c>
      <c r="D82" s="1">
        <v>98899.753776921207</v>
      </c>
      <c r="E82" s="1">
        <v>87537.341745742699</v>
      </c>
      <c r="F82" s="1">
        <v>90772.435895921502</v>
      </c>
      <c r="G82" s="1">
        <v>97419.271986810796</v>
      </c>
      <c r="H82" s="1">
        <v>110537.137569881</v>
      </c>
      <c r="I82" s="1">
        <v>120563.078854147</v>
      </c>
      <c r="J82" s="1">
        <v>136111.188051529</v>
      </c>
      <c r="K82" s="1">
        <v>143826.42142948799</v>
      </c>
      <c r="L82" s="1">
        <v>153453.68219397601</v>
      </c>
      <c r="M82" s="1">
        <v>162080.339435362</v>
      </c>
      <c r="N82" s="1">
        <v>175032.48321000001</v>
      </c>
      <c r="O82" s="1">
        <v>187096.82117000001</v>
      </c>
      <c r="P82" s="1">
        <v>202328.21064</v>
      </c>
      <c r="Q82" s="1">
        <v>211220.46523</v>
      </c>
      <c r="R82" s="1">
        <v>220772.86608000001</v>
      </c>
      <c r="S82" s="1">
        <v>232335.20214000001</v>
      </c>
      <c r="T82" s="1">
        <v>246247.08850000001</v>
      </c>
      <c r="U82" s="1">
        <v>264716.10622999998</v>
      </c>
      <c r="V82" s="1">
        <v>285045.11284000002</v>
      </c>
      <c r="W82" s="1">
        <v>298877.26925000001</v>
      </c>
      <c r="X82" s="1">
        <v>278024.56513</v>
      </c>
      <c r="Y82" s="1">
        <v>297028.55807999999</v>
      </c>
      <c r="Z82" s="1">
        <v>302949.2659</v>
      </c>
      <c r="AA82" s="1">
        <v>315755.78999999998</v>
      </c>
      <c r="AB82" s="1">
        <v>336453.49</v>
      </c>
      <c r="AC82" s="1">
        <v>359214.21</v>
      </c>
    </row>
    <row r="83" spans="1:29">
      <c r="A83" s="1">
        <f>VLOOKUP(B83,Legend!$C$32:$D$66,2,FALSE)</f>
        <v>34</v>
      </c>
      <c r="B83" s="1" t="s">
        <v>9</v>
      </c>
      <c r="C83" s="1" t="s">
        <v>89</v>
      </c>
      <c r="D83" s="1">
        <v>10523.4995854849</v>
      </c>
      <c r="E83" s="1">
        <v>10764.033559638799</v>
      </c>
      <c r="F83" s="1">
        <v>12060.3150677095</v>
      </c>
      <c r="G83" s="1">
        <v>13149.8249054385</v>
      </c>
      <c r="H83" s="1">
        <v>13171.437812206401</v>
      </c>
      <c r="I83" s="1">
        <v>14055.4198316251</v>
      </c>
      <c r="J83" s="1">
        <v>15279.734367487699</v>
      </c>
      <c r="K83" s="1">
        <v>15697.935187503699</v>
      </c>
      <c r="L83" s="1">
        <v>16368.303172428799</v>
      </c>
      <c r="M83" s="1">
        <v>16894.106004443998</v>
      </c>
      <c r="N83" s="1">
        <v>17470.044959999999</v>
      </c>
      <c r="O83" s="1">
        <v>18245.345229999999</v>
      </c>
      <c r="P83" s="1">
        <v>19207.889800000001</v>
      </c>
      <c r="Q83" s="1">
        <v>20190.810140000001</v>
      </c>
      <c r="R83" s="1">
        <v>21358.622429999999</v>
      </c>
      <c r="S83" s="1">
        <v>22286.614560000002</v>
      </c>
      <c r="T83" s="1">
        <v>23616.947820000001</v>
      </c>
      <c r="U83" s="1">
        <v>24791.861850000001</v>
      </c>
      <c r="V83" s="1">
        <v>27327.86246</v>
      </c>
      <c r="W83" s="1">
        <v>30021.483970000001</v>
      </c>
      <c r="X83" s="1">
        <v>25995.230729999999</v>
      </c>
      <c r="Y83" s="1">
        <v>28127.239000000001</v>
      </c>
      <c r="Z83" s="1">
        <v>29774.647000000001</v>
      </c>
      <c r="AA83" s="1">
        <v>31709.040000000001</v>
      </c>
      <c r="AB83" s="1">
        <v>34215.01</v>
      </c>
      <c r="AC83" s="1">
        <v>37034.57</v>
      </c>
    </row>
    <row r="84" spans="1:29">
      <c r="A84" s="1">
        <f>VLOOKUP(B84,Legend!$C$32:$D$66,2,FALSE)</f>
        <v>35</v>
      </c>
      <c r="B84" s="1" t="s">
        <v>23</v>
      </c>
      <c r="C84" s="1" t="s">
        <v>89</v>
      </c>
      <c r="D84" s="1">
        <v>166351.68362525001</v>
      </c>
      <c r="E84" s="1">
        <v>176382.029325796</v>
      </c>
      <c r="F84" s="1">
        <v>182086.33301124701</v>
      </c>
      <c r="G84" s="1">
        <v>185202.00452691599</v>
      </c>
      <c r="H84" s="1">
        <v>191693.08172568999</v>
      </c>
      <c r="I84" s="1">
        <v>207710.88839324599</v>
      </c>
      <c r="J84" s="1">
        <v>222713.75644022599</v>
      </c>
      <c r="K84" s="1">
        <v>228741.67684547199</v>
      </c>
      <c r="L84" s="1">
        <v>242151.05605687801</v>
      </c>
      <c r="M84" s="1">
        <v>254796.764555717</v>
      </c>
      <c r="N84" s="1">
        <v>272954.02888</v>
      </c>
      <c r="O84" s="1">
        <v>289641.72395999997</v>
      </c>
      <c r="P84" s="1">
        <v>314921.95280000003</v>
      </c>
      <c r="Q84" s="1">
        <v>330280.82964000001</v>
      </c>
      <c r="R84" s="1">
        <v>344715.56378000003</v>
      </c>
      <c r="S84" s="1">
        <v>364831.00983</v>
      </c>
      <c r="T84" s="1">
        <v>386709.40266999998</v>
      </c>
      <c r="U84" s="1">
        <v>407185.34837000002</v>
      </c>
      <c r="V84" s="1">
        <v>431922.40681999997</v>
      </c>
      <c r="W84" s="1">
        <v>453188.69693999999</v>
      </c>
      <c r="X84" s="1">
        <v>433893.01079999999</v>
      </c>
      <c r="Y84" s="1">
        <v>438579.17450999998</v>
      </c>
      <c r="Z84" s="1">
        <v>462312.48875000002</v>
      </c>
      <c r="AA84" s="1">
        <v>487230.49</v>
      </c>
      <c r="AB84" s="1">
        <v>513996.18</v>
      </c>
      <c r="AC84" s="1">
        <v>542456.78</v>
      </c>
    </row>
    <row r="85" spans="1:29">
      <c r="A85" s="1">
        <f>VLOOKUP(B85,Legend!$C$32:$D$66,2,FALSE)</f>
        <v>36</v>
      </c>
      <c r="B85" s="1" t="s">
        <v>10</v>
      </c>
      <c r="C85" s="1" t="s">
        <v>89</v>
      </c>
      <c r="D85" s="1">
        <v>49834.592184696703</v>
      </c>
      <c r="E85" s="1">
        <v>53816.101618979097</v>
      </c>
      <c r="F85" s="1">
        <v>57240.648583719303</v>
      </c>
      <c r="G85" s="1">
        <v>61387.987581177498</v>
      </c>
      <c r="H85" s="1">
        <v>67895.276171372301</v>
      </c>
      <c r="I85" s="1">
        <v>73816.3697419214</v>
      </c>
      <c r="J85" s="1">
        <v>79006.749774408498</v>
      </c>
      <c r="K85" s="1">
        <v>64597.023562284201</v>
      </c>
      <c r="L85" s="1">
        <v>72363.076021906105</v>
      </c>
      <c r="M85" s="1">
        <v>75786.709139983097</v>
      </c>
      <c r="N85" s="1">
        <v>81506.593850000005</v>
      </c>
      <c r="O85" s="1">
        <v>88786.939679999996</v>
      </c>
      <c r="P85" s="1">
        <v>96635.330889999997</v>
      </c>
      <c r="Q85" s="1">
        <v>100195.81818</v>
      </c>
      <c r="R85" s="1">
        <v>103115.30697000001</v>
      </c>
      <c r="S85" s="1">
        <v>109012.80726</v>
      </c>
      <c r="T85" s="1">
        <v>115877.26351999999</v>
      </c>
      <c r="U85" s="1">
        <v>126304.23989</v>
      </c>
      <c r="V85" s="1">
        <v>135048.99596999999</v>
      </c>
      <c r="W85" s="1">
        <v>143667.51204</v>
      </c>
      <c r="X85" s="1">
        <v>143572.82973999999</v>
      </c>
      <c r="Y85" s="1">
        <v>149908.84622000001</v>
      </c>
      <c r="Z85" s="1">
        <v>155430.58543000001</v>
      </c>
      <c r="AA85" s="1">
        <v>160769.54999999999</v>
      </c>
      <c r="AB85" s="1">
        <v>164999.07</v>
      </c>
      <c r="AC85" s="1">
        <v>173496.76</v>
      </c>
    </row>
    <row r="86" spans="1:29">
      <c r="A86" s="1">
        <f>VLOOKUP(B86,Legend!$C$32:$D$66,2,FALSE)</f>
        <v>51</v>
      </c>
      <c r="B86" s="1" t="s">
        <v>11</v>
      </c>
      <c r="C86" s="1" t="s">
        <v>89</v>
      </c>
      <c r="D86" s="1">
        <v>9875.9021776729896</v>
      </c>
      <c r="E86" s="1">
        <v>9813.0488313711903</v>
      </c>
      <c r="F86" s="1">
        <v>10041.7212863152</v>
      </c>
      <c r="G86" s="1">
        <v>10170.889299185301</v>
      </c>
      <c r="H86" s="1">
        <v>10895.3347715983</v>
      </c>
      <c r="I86" s="1">
        <v>11190.4819308653</v>
      </c>
      <c r="J86" s="1">
        <v>11411.081883888</v>
      </c>
      <c r="K86" s="1">
        <v>18751.317623546802</v>
      </c>
      <c r="L86" s="1">
        <v>23093.9317820205</v>
      </c>
      <c r="M86" s="1">
        <v>24925.2705602977</v>
      </c>
      <c r="N86" s="1">
        <v>29142.200550000001</v>
      </c>
      <c r="O86" s="1">
        <v>33290.009359999996</v>
      </c>
      <c r="P86" s="1">
        <v>36322.55431</v>
      </c>
      <c r="Q86" s="1">
        <v>38111.98343</v>
      </c>
      <c r="R86" s="1">
        <v>38800.142699999997</v>
      </c>
      <c r="S86" s="1">
        <v>41397.443599999999</v>
      </c>
      <c r="T86" s="1">
        <v>45030.742200000001</v>
      </c>
      <c r="U86" s="1">
        <v>46623.26773</v>
      </c>
      <c r="V86" s="1">
        <v>51076.076549999998</v>
      </c>
      <c r="W86" s="1">
        <v>52755.130259999998</v>
      </c>
      <c r="X86" s="1">
        <v>46598.906499999997</v>
      </c>
      <c r="Y86" s="1">
        <v>44547.839449999999</v>
      </c>
      <c r="Z86" s="1">
        <v>45712.962809999997</v>
      </c>
      <c r="AA86" s="1">
        <v>47091.11</v>
      </c>
      <c r="AB86" s="1">
        <v>49708.02</v>
      </c>
      <c r="AC86" s="1">
        <v>52704.12</v>
      </c>
    </row>
    <row r="87" spans="1:29">
      <c r="A87" s="1">
        <f>VLOOKUP(B87,Legend!$C$32:$D$66,2,FALSE)</f>
        <v>52</v>
      </c>
      <c r="B87" s="1" t="s">
        <v>31</v>
      </c>
      <c r="C87" s="1" t="s">
        <v>89</v>
      </c>
      <c r="D87" s="1">
        <v>9303.3224781434001</v>
      </c>
      <c r="E87" s="1">
        <v>9854.3977995164805</v>
      </c>
      <c r="F87" s="1">
        <v>10258.2868798702</v>
      </c>
      <c r="G87" s="1">
        <v>10728.2750877813</v>
      </c>
      <c r="H87" s="1">
        <v>11554.902878881599</v>
      </c>
      <c r="I87" s="1">
        <v>12061.6323165661</v>
      </c>
      <c r="J87" s="1">
        <v>12749.021439357601</v>
      </c>
      <c r="K87" s="1">
        <v>13871.918343758</v>
      </c>
      <c r="L87" s="1">
        <v>15623.250361385501</v>
      </c>
      <c r="M87" s="1">
        <v>17850.243653732599</v>
      </c>
      <c r="N87" s="1">
        <v>19005.302800000001</v>
      </c>
      <c r="O87" s="1">
        <v>20052.850289999998</v>
      </c>
      <c r="P87" s="1">
        <v>22001.25995</v>
      </c>
      <c r="Q87" s="1">
        <v>22213.426070000001</v>
      </c>
      <c r="R87" s="1">
        <v>22950.228599999999</v>
      </c>
      <c r="S87" s="1">
        <v>25615.716049999999</v>
      </c>
      <c r="T87" s="1">
        <v>27709.645219999999</v>
      </c>
      <c r="U87" s="1">
        <v>28526.820950000001</v>
      </c>
      <c r="V87" s="1">
        <v>30007.146379999998</v>
      </c>
      <c r="W87" s="1">
        <v>32163.880020000001</v>
      </c>
      <c r="X87" s="1">
        <v>30386.3959</v>
      </c>
      <c r="Y87" s="1">
        <v>31589.130929999999</v>
      </c>
      <c r="Z87" s="1">
        <v>30968.08726</v>
      </c>
      <c r="AA87" s="1">
        <v>33748.53</v>
      </c>
      <c r="AB87" s="1">
        <v>34798.33</v>
      </c>
      <c r="AC87" s="1">
        <v>35456.15</v>
      </c>
    </row>
    <row r="88" spans="1:29">
      <c r="A88" s="1">
        <f>VLOOKUP(B88,Legend!$C$32:$D$66,2,FALSE)</f>
        <v>53</v>
      </c>
      <c r="B88" s="1" t="s">
        <v>32</v>
      </c>
      <c r="C88" s="1" t="s">
        <v>89</v>
      </c>
      <c r="D88" s="1">
        <v>12449.2205403106</v>
      </c>
      <c r="E88" s="1">
        <v>13205.172953245899</v>
      </c>
      <c r="F88" s="1">
        <v>13872.8550817819</v>
      </c>
      <c r="G88" s="1">
        <v>9204.8726836580099</v>
      </c>
      <c r="H88" s="1">
        <v>9586.4303616386496</v>
      </c>
      <c r="I88" s="1">
        <v>9914.3702128594705</v>
      </c>
      <c r="J88" s="1">
        <v>10414.0043517432</v>
      </c>
      <c r="K88" s="1">
        <v>10715.169165663599</v>
      </c>
      <c r="L88" s="1">
        <v>11026.361222121999</v>
      </c>
      <c r="M88" s="1">
        <v>12768.9178024538</v>
      </c>
      <c r="N88" s="1">
        <v>14015.891900000001</v>
      </c>
      <c r="O88" s="1">
        <v>14723.67661</v>
      </c>
      <c r="P88" s="1">
        <v>15844.365250000001</v>
      </c>
      <c r="Q88" s="1">
        <v>17614.8377</v>
      </c>
      <c r="R88" s="1">
        <v>22195.978459999998</v>
      </c>
      <c r="S88" s="1">
        <v>24832.31669</v>
      </c>
      <c r="T88" s="1">
        <v>28741.68103</v>
      </c>
      <c r="U88" s="1">
        <v>30527.23674</v>
      </c>
      <c r="V88" s="1">
        <v>32035.75503</v>
      </c>
      <c r="W88" s="1">
        <v>33794.45708</v>
      </c>
      <c r="X88" s="1">
        <v>30989.781749999998</v>
      </c>
      <c r="Y88" s="1">
        <v>32473.641660000001</v>
      </c>
      <c r="Z88" s="1">
        <v>32304.850160000002</v>
      </c>
      <c r="AA88" s="1">
        <v>34294.47</v>
      </c>
      <c r="AB88" s="1">
        <v>34892.83</v>
      </c>
      <c r="AC88" s="1">
        <v>34757.11</v>
      </c>
    </row>
    <row r="89" spans="1:29">
      <c r="A89" s="1">
        <f>VLOOKUP(B89,Legend!$C$32:$D$66,2,FALSE)</f>
        <v>61</v>
      </c>
      <c r="B89" s="1" t="s">
        <v>24</v>
      </c>
      <c r="C89" s="1" t="s">
        <v>89</v>
      </c>
      <c r="D89" s="1">
        <v>18948.815325632801</v>
      </c>
      <c r="E89" s="1">
        <v>19006.4874380986</v>
      </c>
      <c r="F89" s="1">
        <v>19758.409874518598</v>
      </c>
      <c r="G89" s="1">
        <v>20821.340164454701</v>
      </c>
      <c r="H89" s="1">
        <v>22047.717109348501</v>
      </c>
      <c r="I89" s="1">
        <v>22735.605869028299</v>
      </c>
      <c r="J89" s="1">
        <v>23654.476965551399</v>
      </c>
      <c r="K89" s="1">
        <v>23133.0686336857</v>
      </c>
      <c r="L89" s="1">
        <v>24062.6967042043</v>
      </c>
      <c r="M89" s="1">
        <v>25179.1430433887</v>
      </c>
      <c r="N89" s="1">
        <v>26708.740099999999</v>
      </c>
      <c r="O89" s="1">
        <v>30026.170699999999</v>
      </c>
      <c r="P89" s="1">
        <v>32320.292300000001</v>
      </c>
      <c r="Q89" s="1">
        <v>33044.477290000003</v>
      </c>
      <c r="R89" s="1">
        <v>36145.685210000003</v>
      </c>
      <c r="S89" s="1">
        <v>38205.249069999998</v>
      </c>
      <c r="T89" s="1">
        <v>38402.216719999997</v>
      </c>
      <c r="U89" s="1">
        <v>39297.727680000004</v>
      </c>
      <c r="V89" s="1">
        <v>40474.310219999999</v>
      </c>
      <c r="W89" s="1">
        <v>41406.83784</v>
      </c>
      <c r="X89" s="1">
        <v>40785.949370000002</v>
      </c>
      <c r="Y89" s="1">
        <v>41890.78746</v>
      </c>
      <c r="Z89" s="1">
        <v>43172.702250000002</v>
      </c>
      <c r="AA89" s="1">
        <v>46518.96</v>
      </c>
      <c r="AB89" s="1">
        <v>49921.81</v>
      </c>
      <c r="AC89" s="1">
        <v>53270.79</v>
      </c>
    </row>
    <row r="90" spans="1:29">
      <c r="A90" s="1">
        <f>VLOOKUP(B90,Legend!$C$32:$D$66,2,FALSE)</f>
        <v>62</v>
      </c>
      <c r="B90" s="1" t="s">
        <v>26</v>
      </c>
      <c r="C90" s="1" t="s">
        <v>89</v>
      </c>
      <c r="D90" s="1">
        <v>13224.254540579401</v>
      </c>
      <c r="E90" s="1">
        <v>13217.4533846706</v>
      </c>
      <c r="F90" s="1">
        <v>13322.4486674115</v>
      </c>
      <c r="G90" s="1">
        <v>13959.0535338506</v>
      </c>
      <c r="H90" s="1">
        <v>14609.2681261581</v>
      </c>
      <c r="I90" s="1">
        <v>15984.375155948301</v>
      </c>
      <c r="J90" s="1">
        <v>18083.517031730498</v>
      </c>
      <c r="K90" s="1">
        <v>19959.592230110298</v>
      </c>
      <c r="L90" s="1">
        <v>21645.309335357098</v>
      </c>
      <c r="M90" s="1">
        <v>22118.5236474302</v>
      </c>
      <c r="N90" s="1">
        <v>24129.344209999999</v>
      </c>
      <c r="O90" s="1">
        <v>26770.39027</v>
      </c>
      <c r="P90" s="1">
        <v>28652.114000000001</v>
      </c>
      <c r="Q90" s="1">
        <v>29743.66516</v>
      </c>
      <c r="R90" s="1">
        <v>31910.24624</v>
      </c>
      <c r="S90" s="1">
        <v>34049.498890000003</v>
      </c>
      <c r="T90" s="1">
        <v>35835.839930000002</v>
      </c>
      <c r="U90" s="1">
        <v>37275.022060000003</v>
      </c>
      <c r="V90" s="1">
        <v>39378.103069999997</v>
      </c>
      <c r="W90" s="1">
        <v>40449.760499999997</v>
      </c>
      <c r="X90" s="1">
        <v>39286.654979999999</v>
      </c>
      <c r="Y90" s="1">
        <v>40539.275889999997</v>
      </c>
      <c r="Z90" s="1">
        <v>40002.44889</v>
      </c>
      <c r="AA90" s="1">
        <v>42264.5</v>
      </c>
      <c r="AB90" s="1">
        <v>44449.54</v>
      </c>
      <c r="AC90" s="1">
        <v>44905.95</v>
      </c>
    </row>
    <row r="91" spans="1:29">
      <c r="A91" s="1">
        <f>VLOOKUP(B91,Legend!$C$32:$D$66,2,FALSE)</f>
        <v>63</v>
      </c>
      <c r="B91" s="1" t="s">
        <v>25</v>
      </c>
      <c r="C91" s="1" t="s">
        <v>89</v>
      </c>
      <c r="D91" s="1">
        <v>8061.8552914210504</v>
      </c>
      <c r="E91" s="1">
        <v>7335.5852632073702</v>
      </c>
      <c r="F91" s="1">
        <v>7187.17786726125</v>
      </c>
      <c r="G91" s="1">
        <v>7426.8218788235099</v>
      </c>
      <c r="H91" s="1">
        <v>7508.5976934604996</v>
      </c>
      <c r="I91" s="1">
        <v>7689.1368929119099</v>
      </c>
      <c r="J91" s="1">
        <v>8596.0480167348505</v>
      </c>
      <c r="K91" s="1">
        <v>11873.4613809242</v>
      </c>
      <c r="L91" s="1">
        <v>14606.348678275501</v>
      </c>
      <c r="M91" s="1">
        <v>16843.574699593999</v>
      </c>
      <c r="N91" s="1">
        <v>18914.905409999999</v>
      </c>
      <c r="O91" s="1">
        <v>19894.8632</v>
      </c>
      <c r="P91" s="1">
        <v>20911.080030000001</v>
      </c>
      <c r="Q91" s="1">
        <v>22112.484199999999</v>
      </c>
      <c r="R91" s="1">
        <v>23375.03471</v>
      </c>
      <c r="S91" s="1">
        <v>24622.972170000001</v>
      </c>
      <c r="T91" s="1">
        <v>25455.833729999998</v>
      </c>
      <c r="U91" s="1">
        <v>26551.067510000001</v>
      </c>
      <c r="V91" s="1">
        <v>28677.559020000001</v>
      </c>
      <c r="W91" s="1">
        <v>30503.556499999999</v>
      </c>
      <c r="X91" s="1">
        <v>30092.963919999998</v>
      </c>
      <c r="Y91" s="1">
        <v>30346.148209999999</v>
      </c>
      <c r="Z91" s="1">
        <v>31935.778460000001</v>
      </c>
      <c r="AA91" s="1">
        <v>33588.68</v>
      </c>
      <c r="AB91" s="1">
        <v>35259.019999999997</v>
      </c>
      <c r="AC91" s="1">
        <v>37168.94</v>
      </c>
    </row>
    <row r="92" spans="1:29">
      <c r="A92" s="1">
        <f>VLOOKUP(B92,Legend!$C$32:$D$66,2,FALSE)</f>
        <v>64</v>
      </c>
      <c r="B92" s="1" t="s">
        <v>27</v>
      </c>
      <c r="C92" s="1" t="s">
        <v>89</v>
      </c>
      <c r="D92" s="1">
        <v>46055.270385694603</v>
      </c>
      <c r="E92" s="1">
        <v>54898.703752784197</v>
      </c>
      <c r="F92" s="1">
        <v>59884.900517430397</v>
      </c>
      <c r="G92" s="1">
        <v>65025.345017865897</v>
      </c>
      <c r="H92" s="1">
        <v>67301.450146137606</v>
      </c>
      <c r="I92" s="1">
        <v>71371.798959693799</v>
      </c>
      <c r="J92" s="1">
        <v>77281.913216725196</v>
      </c>
      <c r="K92" s="1">
        <v>81435.441492725498</v>
      </c>
      <c r="L92" s="1">
        <v>88928.971835892196</v>
      </c>
      <c r="M92" s="1">
        <v>92460.168772574107</v>
      </c>
      <c r="N92" s="1">
        <v>97159.066340000005</v>
      </c>
      <c r="O92" s="1">
        <v>105497.5047</v>
      </c>
      <c r="P92" s="1">
        <v>110334.67817</v>
      </c>
      <c r="Q92" s="1">
        <v>111846.99244</v>
      </c>
      <c r="R92" s="1">
        <v>117106.1562</v>
      </c>
      <c r="S92" s="1">
        <v>115380.2447</v>
      </c>
      <c r="T92" s="1">
        <v>108405.55265</v>
      </c>
      <c r="U92" s="1">
        <v>111386.66535</v>
      </c>
      <c r="V92" s="1">
        <v>119779.84624</v>
      </c>
      <c r="W92" s="1">
        <v>125537.60745</v>
      </c>
      <c r="X92" s="1">
        <v>124207.97215</v>
      </c>
      <c r="Y92" s="1">
        <v>133824.11442999999</v>
      </c>
      <c r="Z92" s="1">
        <v>141346.16579999999</v>
      </c>
      <c r="AA92" s="1">
        <v>157598.51999999999</v>
      </c>
      <c r="AB92" s="1">
        <v>170659.77</v>
      </c>
      <c r="AC92" s="1">
        <v>174089.88</v>
      </c>
    </row>
    <row r="93" spans="1:29">
      <c r="A93" s="1">
        <f>VLOOKUP(B93,Legend!$C$32:$D$66,2,FALSE)</f>
        <v>65</v>
      </c>
      <c r="B93" s="1" t="s">
        <v>46</v>
      </c>
      <c r="C93" s="1" t="s">
        <v>89</v>
      </c>
      <c r="N93" s="1">
        <v>11346.011560000001</v>
      </c>
      <c r="O93" s="1">
        <v>11649.50726</v>
      </c>
      <c r="P93" s="1">
        <v>12389.875389999999</v>
      </c>
      <c r="Q93" s="1">
        <v>13122.171969999999</v>
      </c>
      <c r="R93" s="1">
        <v>14043.440850000001</v>
      </c>
      <c r="S93" s="1">
        <v>15246.05293</v>
      </c>
      <c r="T93" s="1">
        <v>16317.819450000001</v>
      </c>
      <c r="U93" s="1">
        <v>16969.655309999998</v>
      </c>
      <c r="V93" s="1">
        <v>17840.023140000001</v>
      </c>
      <c r="W93" s="1">
        <v>19068.548999999999</v>
      </c>
      <c r="X93" s="1">
        <v>18489.757509999999</v>
      </c>
      <c r="Y93" s="1">
        <v>18609.925459999999</v>
      </c>
      <c r="Z93" s="1">
        <v>19050.233209999999</v>
      </c>
      <c r="AA93" s="1">
        <v>20788.96</v>
      </c>
      <c r="AB93" s="1">
        <v>22210.3</v>
      </c>
      <c r="AC93" s="1">
        <v>23203.48</v>
      </c>
    </row>
    <row r="94" spans="1:29">
      <c r="A94" s="1">
        <f>VLOOKUP(B94,Legend!$C$32:$D$66,2,FALSE)</f>
        <v>71</v>
      </c>
      <c r="B94" s="1" t="s">
        <v>38</v>
      </c>
      <c r="C94" s="1" t="s">
        <v>89</v>
      </c>
      <c r="D94" s="1">
        <v>8743.1278249020797</v>
      </c>
      <c r="E94" s="1">
        <v>9376.50907488743</v>
      </c>
      <c r="F94" s="1">
        <v>9942.5300006985599</v>
      </c>
      <c r="G94" s="1">
        <v>9572.3985835221902</v>
      </c>
      <c r="H94" s="1">
        <v>10217.8674529815</v>
      </c>
      <c r="I94" s="1">
        <v>11430.353838692299</v>
      </c>
      <c r="J94" s="1">
        <v>13117.155309322099</v>
      </c>
      <c r="K94" s="1">
        <v>15785.392598885401</v>
      </c>
      <c r="L94" s="1">
        <v>18172.792544279</v>
      </c>
      <c r="M94" s="1">
        <v>19479.853165485802</v>
      </c>
      <c r="N94" s="1">
        <v>20141.035690000001</v>
      </c>
      <c r="O94" s="1">
        <v>21961.153979999999</v>
      </c>
      <c r="P94" s="1">
        <v>22369.518749999999</v>
      </c>
      <c r="Q94" s="1">
        <v>23331.262350000001</v>
      </c>
      <c r="R94" s="1">
        <v>23801.172320000001</v>
      </c>
      <c r="S94" s="1">
        <v>26067.778740000002</v>
      </c>
      <c r="T94" s="1">
        <v>27710.48388</v>
      </c>
      <c r="U94" s="1">
        <v>29718.18316</v>
      </c>
      <c r="V94" s="1">
        <v>30806.129120000001</v>
      </c>
      <c r="W94" s="1">
        <v>32653.617610000001</v>
      </c>
      <c r="X94" s="1">
        <v>30777.571820000001</v>
      </c>
      <c r="Y94" s="1">
        <v>33257.803</v>
      </c>
      <c r="Z94" s="1">
        <v>34255.066930000001</v>
      </c>
      <c r="AA94" s="1">
        <v>35137.47</v>
      </c>
      <c r="AB94" s="1">
        <v>36500.980000000003</v>
      </c>
      <c r="AC94" s="1">
        <v>36778.14</v>
      </c>
    </row>
    <row r="95" spans="1:29">
      <c r="A95" s="1">
        <f>VLOOKUP(B95,Legend!$C$32:$D$66,2,FALSE)</f>
        <v>72</v>
      </c>
      <c r="B95" s="1" t="s">
        <v>36</v>
      </c>
      <c r="C95" s="1" t="s">
        <v>89</v>
      </c>
      <c r="D95" s="1">
        <v>8221.5867111194893</v>
      </c>
      <c r="E95" s="1">
        <v>8682.3114414829506</v>
      </c>
      <c r="F95" s="1">
        <v>9083.9371670189303</v>
      </c>
      <c r="G95" s="1">
        <v>9624.3495253196907</v>
      </c>
      <c r="H95" s="1">
        <v>10272.5428637815</v>
      </c>
      <c r="I95" s="1">
        <v>11025.127660349101</v>
      </c>
      <c r="J95" s="1">
        <v>11903.9619955908</v>
      </c>
      <c r="K95" s="1">
        <v>14523.570079286401</v>
      </c>
      <c r="L95" s="1">
        <v>15825.8363290827</v>
      </c>
      <c r="M95" s="1">
        <v>17114.878466160499</v>
      </c>
      <c r="N95" s="1">
        <v>18388.28356</v>
      </c>
      <c r="O95" s="1">
        <v>21262.486959999998</v>
      </c>
      <c r="P95" s="1">
        <v>24156.746009999999</v>
      </c>
      <c r="Q95" s="1">
        <v>26670.475719999999</v>
      </c>
      <c r="R95" s="1">
        <v>30720.125</v>
      </c>
      <c r="S95" s="1">
        <v>35082.327859999998</v>
      </c>
      <c r="T95" s="1">
        <v>39964.673419999999</v>
      </c>
      <c r="U95" s="1">
        <v>41366.808660000002</v>
      </c>
      <c r="V95" s="1">
        <v>42083.726699999999</v>
      </c>
      <c r="W95" s="1">
        <v>50649.308709999998</v>
      </c>
      <c r="X95" s="1">
        <v>46703.437409999999</v>
      </c>
      <c r="Y95" s="1">
        <v>69263.216759999996</v>
      </c>
      <c r="Z95" s="1">
        <v>85345.313080000007</v>
      </c>
      <c r="AA95" s="1">
        <v>86318.5</v>
      </c>
      <c r="AB95" s="1">
        <v>89253.94</v>
      </c>
      <c r="AC95" s="1">
        <v>90611.61</v>
      </c>
    </row>
    <row r="96" spans="1:29">
      <c r="A96" s="1">
        <f>VLOOKUP(B96,Legend!$C$32:$D$66,2,FALSE)</f>
        <v>73</v>
      </c>
      <c r="B96" s="1" t="s">
        <v>35</v>
      </c>
      <c r="C96" s="1" t="s">
        <v>89</v>
      </c>
      <c r="D96" s="1">
        <v>24682.443824051199</v>
      </c>
      <c r="E96" s="1">
        <v>30263.686718469598</v>
      </c>
      <c r="F96" s="1">
        <v>29621.336540975499</v>
      </c>
      <c r="G96" s="1">
        <v>29995.857336891801</v>
      </c>
      <c r="H96" s="1">
        <v>31411.3689458031</v>
      </c>
      <c r="I96" s="1">
        <v>31698.7131400369</v>
      </c>
      <c r="J96" s="1">
        <v>32394.9001593988</v>
      </c>
      <c r="K96" s="1">
        <v>35834.385851475097</v>
      </c>
      <c r="L96" s="1">
        <v>43237.879124455103</v>
      </c>
      <c r="M96" s="1">
        <v>50276.952301108897</v>
      </c>
      <c r="N96" s="1">
        <v>57259.192649999997</v>
      </c>
      <c r="O96" s="1">
        <v>64561.918890000001</v>
      </c>
      <c r="P96" s="1">
        <v>74678.047279999999</v>
      </c>
      <c r="Q96" s="1">
        <v>82975.853829999993</v>
      </c>
      <c r="R96" s="1">
        <v>89710.700030000007</v>
      </c>
      <c r="S96" s="1">
        <v>96963.272060000003</v>
      </c>
      <c r="T96" s="1">
        <v>103857.18786999999</v>
      </c>
      <c r="U96" s="1">
        <v>112387.27178</v>
      </c>
      <c r="V96" s="1">
        <v>118819.79513</v>
      </c>
      <c r="W96" s="1">
        <v>125557.71436</v>
      </c>
      <c r="X96" s="1">
        <v>127770.23864</v>
      </c>
      <c r="Y96" s="1">
        <v>134600.86635</v>
      </c>
      <c r="Z96" s="1">
        <v>139015.41495000001</v>
      </c>
      <c r="AA96" s="1">
        <v>145390.79</v>
      </c>
      <c r="AB96" s="1">
        <v>148819.07</v>
      </c>
      <c r="AC96" s="1">
        <v>155438.35999999999</v>
      </c>
    </row>
    <row r="97" spans="1:29">
      <c r="A97" s="1">
        <f>VLOOKUP(B97,Legend!$C$32:$D$66,2,FALSE)</f>
        <v>74</v>
      </c>
      <c r="B97" s="1" t="s">
        <v>37</v>
      </c>
      <c r="C97" s="1" t="s">
        <v>89</v>
      </c>
      <c r="D97" s="1">
        <v>7295.7706436499202</v>
      </c>
      <c r="E97" s="1">
        <v>7461.08945593934</v>
      </c>
      <c r="F97" s="1">
        <v>8065.7486734910799</v>
      </c>
      <c r="G97" s="1">
        <v>8722.3010308930498</v>
      </c>
      <c r="H97" s="1">
        <v>9793.9398376341105</v>
      </c>
      <c r="I97" s="1">
        <v>11414.7713997751</v>
      </c>
      <c r="J97" s="1">
        <v>12416.546375531199</v>
      </c>
      <c r="K97" s="1">
        <v>13965.382938450901</v>
      </c>
      <c r="L97" s="1">
        <v>16057.950540469599</v>
      </c>
      <c r="M97" s="1">
        <v>18101.730142626599</v>
      </c>
      <c r="N97" s="1">
        <v>21023.36578</v>
      </c>
      <c r="O97" s="1">
        <v>22317.689689999999</v>
      </c>
      <c r="P97" s="1">
        <v>23366.565640000001</v>
      </c>
      <c r="Q97" s="1">
        <v>24807.787329999999</v>
      </c>
      <c r="R97" s="1">
        <v>28742.4905</v>
      </c>
      <c r="S97" s="1">
        <v>29956.178919999998</v>
      </c>
      <c r="T97" s="1">
        <v>32248.518650000002</v>
      </c>
      <c r="U97" s="1">
        <v>34826.402869999998</v>
      </c>
      <c r="V97" s="1">
        <v>36804.904260000003</v>
      </c>
      <c r="W97" s="1">
        <v>38755.85699</v>
      </c>
      <c r="X97" s="1">
        <v>37940.569770000002</v>
      </c>
      <c r="Y97" s="1">
        <v>40239.516000000003</v>
      </c>
      <c r="Z97" s="1">
        <v>40498.19025</v>
      </c>
      <c r="AA97" s="1">
        <v>41654.629999999997</v>
      </c>
      <c r="AB97" s="1">
        <v>42526.17</v>
      </c>
      <c r="AC97" s="1">
        <v>43781.48</v>
      </c>
    </row>
    <row r="98" spans="1:29">
      <c r="A98" s="1">
        <f>VLOOKUP(B98,Legend!$C$32:$D$66,2,FALSE)</f>
        <v>75</v>
      </c>
      <c r="B98" s="1" t="s">
        <v>12</v>
      </c>
      <c r="C98" s="1" t="s">
        <v>89</v>
      </c>
      <c r="D98" s="1">
        <v>1205.7432981474699</v>
      </c>
      <c r="E98" s="1">
        <v>1579.4396369946001</v>
      </c>
      <c r="F98" s="1">
        <v>1640.5429072235299</v>
      </c>
      <c r="G98" s="1">
        <v>2332.3525823455302</v>
      </c>
      <c r="H98" s="1">
        <v>3244.8033698193699</v>
      </c>
      <c r="I98" s="1">
        <v>3540.2468126245699</v>
      </c>
      <c r="J98" s="1">
        <v>3820.2192098804098</v>
      </c>
      <c r="K98" s="1">
        <v>4179.1231166300004</v>
      </c>
      <c r="L98" s="1">
        <v>4398.2526744693196</v>
      </c>
      <c r="M98" s="1">
        <v>4622.9581435099499</v>
      </c>
      <c r="N98" s="1">
        <v>4863.9703099999997</v>
      </c>
      <c r="O98" s="1">
        <v>5288.34447</v>
      </c>
      <c r="P98" s="1">
        <v>5726.6850400000003</v>
      </c>
      <c r="Q98" s="1">
        <v>6188.2754400000003</v>
      </c>
      <c r="R98" s="1">
        <v>6722.0788199999997</v>
      </c>
      <c r="S98" s="1">
        <v>7317.3801299999996</v>
      </c>
      <c r="T98" s="1">
        <v>7721.2894699999997</v>
      </c>
      <c r="U98" s="1">
        <v>7956.7846</v>
      </c>
      <c r="V98" s="1">
        <v>8285.5089399999997</v>
      </c>
      <c r="W98" s="1">
        <v>8559.3569800000005</v>
      </c>
      <c r="X98" s="1">
        <v>8474.68462</v>
      </c>
      <c r="Y98" s="1">
        <v>8714.4374299999999</v>
      </c>
      <c r="Z98" s="1">
        <v>8873.4930899999999</v>
      </c>
      <c r="AA98" s="1">
        <v>9187.36</v>
      </c>
      <c r="AB98" s="1">
        <v>9516.5499999999993</v>
      </c>
      <c r="AC98" s="1">
        <v>10056.98</v>
      </c>
    </row>
    <row r="99" spans="1:29">
      <c r="A99" s="1">
        <f>VLOOKUP(B99,Legend!$C$32:$D$66,2,FALSE)</f>
        <v>76</v>
      </c>
      <c r="B99" s="1" t="s">
        <v>34</v>
      </c>
      <c r="C99" s="1" t="s">
        <v>89</v>
      </c>
      <c r="H99" s="1">
        <v>1976.39364293277</v>
      </c>
      <c r="I99" s="1">
        <v>2107.6153945153901</v>
      </c>
      <c r="J99" s="1">
        <v>2336.7470297366299</v>
      </c>
      <c r="K99" s="1">
        <v>3074.4073139560301</v>
      </c>
      <c r="L99" s="1">
        <v>4335.6099934456597</v>
      </c>
      <c r="M99" s="1">
        <v>4679.6043542891402</v>
      </c>
      <c r="N99" s="1">
        <v>4548.8902399999997</v>
      </c>
      <c r="O99" s="1">
        <v>5223.6168100000004</v>
      </c>
      <c r="P99" s="1">
        <v>5599.7065899999998</v>
      </c>
      <c r="Q99" s="1">
        <v>6253.9066800000001</v>
      </c>
      <c r="R99" s="1">
        <v>6726.5981899999997</v>
      </c>
      <c r="S99" s="1">
        <v>7182.8681699999997</v>
      </c>
      <c r="T99" s="1">
        <v>7984.3761500000001</v>
      </c>
      <c r="U99" s="1">
        <v>8617.0168599999997</v>
      </c>
      <c r="V99" s="1">
        <v>9082.9728400000004</v>
      </c>
      <c r="W99" s="1">
        <v>9630.5442999999996</v>
      </c>
      <c r="X99" s="1">
        <v>8810.6789000000008</v>
      </c>
      <c r="Y99" s="1">
        <v>9465.9805199999992</v>
      </c>
      <c r="Z99" s="1">
        <v>9455.2691200000008</v>
      </c>
      <c r="AA99" s="1">
        <v>9643.5300000000007</v>
      </c>
      <c r="AB99" s="1">
        <v>10046.209999999999</v>
      </c>
      <c r="AC99" s="1">
        <v>9949.83</v>
      </c>
    </row>
    <row r="100" spans="1:29">
      <c r="A100" s="1">
        <f>VLOOKUP(B100,Legend!$C$32:$D$66,2,FALSE)</f>
        <v>81</v>
      </c>
      <c r="B100" s="1" t="s">
        <v>13</v>
      </c>
      <c r="C100" s="1" t="s">
        <v>89</v>
      </c>
      <c r="D100" s="1">
        <v>1742.33543371007</v>
      </c>
      <c r="E100" s="1">
        <v>1769.05851029428</v>
      </c>
      <c r="F100" s="1">
        <v>2082.11007840292</v>
      </c>
      <c r="G100" s="1">
        <v>2304.8481811746901</v>
      </c>
      <c r="H100" s="1">
        <v>2455.89149822319</v>
      </c>
      <c r="I100" s="1">
        <v>2599.06994133543</v>
      </c>
      <c r="J100" s="1">
        <v>2787.2491752553201</v>
      </c>
      <c r="K100" s="1">
        <v>3144.9704153306502</v>
      </c>
      <c r="L100" s="1">
        <v>3534.34327335542</v>
      </c>
      <c r="M100" s="1">
        <v>3776.0009479655801</v>
      </c>
      <c r="N100" s="1">
        <v>4385.61661</v>
      </c>
      <c r="O100" s="1">
        <v>5173.8676699999996</v>
      </c>
      <c r="P100" s="1">
        <v>6281.1711699999996</v>
      </c>
      <c r="Q100" s="1">
        <v>6968.0082400000001</v>
      </c>
      <c r="R100" s="1">
        <v>7344.1756599999999</v>
      </c>
      <c r="S100" s="1">
        <v>7619.5877600000003</v>
      </c>
      <c r="T100" s="1">
        <v>8177.0123599999997</v>
      </c>
      <c r="U100" s="1">
        <v>8679.3594799999992</v>
      </c>
      <c r="V100" s="1">
        <v>9427.7485500000003</v>
      </c>
      <c r="W100" s="1">
        <v>9999.05782</v>
      </c>
      <c r="X100" s="1">
        <v>9790.4211300000006</v>
      </c>
      <c r="Y100" s="1">
        <v>10075.803</v>
      </c>
      <c r="Z100" s="1">
        <v>10178.45111</v>
      </c>
      <c r="AA100" s="1">
        <v>10273.040000000001</v>
      </c>
      <c r="AB100" s="1">
        <v>10481.14</v>
      </c>
      <c r="AC100" s="1">
        <v>10578.07</v>
      </c>
    </row>
    <row r="101" spans="1:29">
      <c r="A101" s="1">
        <f>VLOOKUP(B101,Legend!$C$32:$D$66,2,FALSE)</f>
        <v>82</v>
      </c>
      <c r="B101" s="1" t="s">
        <v>30</v>
      </c>
      <c r="C101" s="1" t="s">
        <v>89</v>
      </c>
      <c r="D101" s="1">
        <v>871.38184368354098</v>
      </c>
      <c r="E101" s="1">
        <v>1017.2457797644799</v>
      </c>
      <c r="F101" s="1">
        <v>1080.7586617197301</v>
      </c>
      <c r="G101" s="1">
        <v>1039.2965275399199</v>
      </c>
      <c r="H101" s="1">
        <v>1105.6238075895201</v>
      </c>
      <c r="I101" s="1">
        <v>1531.96950636051</v>
      </c>
      <c r="J101" s="1">
        <v>1898.4517147174699</v>
      </c>
      <c r="K101" s="1">
        <v>2162.9065998434198</v>
      </c>
      <c r="L101" s="1">
        <v>2663.9530996414601</v>
      </c>
      <c r="M101" s="1">
        <v>3293.5645382244402</v>
      </c>
      <c r="N101" s="1">
        <v>3431.17211</v>
      </c>
      <c r="O101" s="1">
        <v>4212.39833</v>
      </c>
      <c r="P101" s="1">
        <v>4659.0838400000002</v>
      </c>
      <c r="Q101" s="1">
        <v>5026.4942499999997</v>
      </c>
      <c r="R101" s="1">
        <v>5251.2334799999999</v>
      </c>
      <c r="S101" s="1">
        <v>5786.4017299999996</v>
      </c>
      <c r="T101" s="1">
        <v>6414.6370299999999</v>
      </c>
      <c r="U101" s="1">
        <v>7373.4866000000002</v>
      </c>
      <c r="V101" s="1">
        <v>7196.5991599999998</v>
      </c>
      <c r="W101" s="1">
        <v>13156.4712</v>
      </c>
      <c r="X101" s="1">
        <v>16821.606459999999</v>
      </c>
      <c r="Y101" s="1">
        <v>18585.60313</v>
      </c>
      <c r="Z101" s="1">
        <v>29994.854200000002</v>
      </c>
      <c r="AA101" s="1">
        <v>24118.86</v>
      </c>
      <c r="AB101" s="1">
        <v>26554.82</v>
      </c>
      <c r="AC101" s="1">
        <v>33293.67</v>
      </c>
    </row>
    <row r="102" spans="1:29">
      <c r="A102" s="1">
        <f>VLOOKUP(B102,Legend!$C$32:$D$66,2,FALSE)</f>
        <v>91</v>
      </c>
      <c r="B102" s="1" t="s">
        <v>33</v>
      </c>
      <c r="C102" s="1" t="s">
        <v>89</v>
      </c>
      <c r="F102" s="1">
        <v>4950.0229975172097</v>
      </c>
      <c r="G102" s="1">
        <v>5100.4235251525997</v>
      </c>
      <c r="H102" s="1">
        <v>5230.8192414789301</v>
      </c>
      <c r="I102" s="1">
        <v>5359.0468937103296</v>
      </c>
      <c r="J102" s="1">
        <v>5577.4459401993299</v>
      </c>
      <c r="K102" s="1">
        <v>5885.8491135168097</v>
      </c>
      <c r="L102" s="1">
        <v>6064.70793797224</v>
      </c>
      <c r="M102" s="1">
        <v>6361.74673144182</v>
      </c>
      <c r="N102" s="1">
        <v>6853.3075699999999</v>
      </c>
      <c r="O102" s="1">
        <v>7387.2752200000004</v>
      </c>
      <c r="P102" s="1">
        <v>7601.43685</v>
      </c>
      <c r="Q102" s="1">
        <v>9034.8601600000002</v>
      </c>
      <c r="R102" s="1">
        <v>9020.7990599999994</v>
      </c>
      <c r="S102" s="1">
        <v>10008.94353</v>
      </c>
      <c r="T102" s="1">
        <v>10472.305399999999</v>
      </c>
      <c r="U102" s="1">
        <v>10752.872579999999</v>
      </c>
      <c r="V102" s="1">
        <v>11133.95609</v>
      </c>
      <c r="W102" s="1">
        <v>11816.228789999999</v>
      </c>
      <c r="X102" s="1">
        <v>11302.852080000001</v>
      </c>
      <c r="Y102" s="1">
        <v>11223.39164</v>
      </c>
      <c r="Z102" s="1">
        <v>10256.508980000001</v>
      </c>
      <c r="AA102" s="1">
        <v>12424.16</v>
      </c>
      <c r="AB102" s="1">
        <v>8667.380000000001</v>
      </c>
      <c r="AC102" s="1">
        <v>8597.4699999999993</v>
      </c>
    </row>
    <row r="103" spans="1:29">
      <c r="A103" s="1">
        <f>VLOOKUP(B103,Legend!$C$32:$D$66,2,FALSE)</f>
        <v>94</v>
      </c>
      <c r="B103" s="1" t="s">
        <v>14</v>
      </c>
      <c r="C103" s="1" t="s">
        <v>89</v>
      </c>
      <c r="D103" s="1">
        <v>11513.4902014729</v>
      </c>
      <c r="E103" s="1">
        <v>12427.424499381899</v>
      </c>
      <c r="F103" s="1">
        <v>9171.4073673687708</v>
      </c>
      <c r="G103" s="1">
        <v>9870.0563755300791</v>
      </c>
      <c r="H103" s="1">
        <v>10844.3653404288</v>
      </c>
      <c r="I103" s="1">
        <v>11786.864308791</v>
      </c>
      <c r="J103" s="1">
        <v>15120.9638652658</v>
      </c>
      <c r="K103" s="1">
        <v>18164.0889253491</v>
      </c>
      <c r="L103" s="1">
        <v>20543.124680658799</v>
      </c>
      <c r="M103" s="1">
        <v>22782.919787676699</v>
      </c>
      <c r="N103" s="1">
        <v>25009.775570000002</v>
      </c>
      <c r="O103" s="1">
        <v>27037.628809999998</v>
      </c>
      <c r="P103" s="1">
        <v>28882.224979999999</v>
      </c>
      <c r="Q103" s="1">
        <v>30778.24741</v>
      </c>
      <c r="R103" s="1">
        <v>33168.025950000003</v>
      </c>
      <c r="S103" s="1">
        <v>35524.777770000001</v>
      </c>
      <c r="T103" s="1">
        <v>37824.226820000003</v>
      </c>
      <c r="U103" s="1">
        <v>39870.095889999997</v>
      </c>
      <c r="V103" s="1">
        <v>42576.324460000003</v>
      </c>
      <c r="W103" s="1">
        <v>44058.796979999999</v>
      </c>
      <c r="X103" s="1">
        <v>43396.2045</v>
      </c>
      <c r="Y103" s="1">
        <v>47620.329239999999</v>
      </c>
      <c r="Z103" s="1">
        <v>79756.021510000006</v>
      </c>
      <c r="AA103" s="1">
        <v>82387.7</v>
      </c>
      <c r="AB103" s="1">
        <v>51526.47</v>
      </c>
      <c r="AC103" s="1">
        <v>51732.27</v>
      </c>
    </row>
    <row r="104" spans="1:29">
      <c r="A104" s="1">
        <f>VLOOKUP(B104,Legend!$C$32:$D$66,2,FALSE)</f>
        <v>11</v>
      </c>
      <c r="B104" s="1" t="s">
        <v>3</v>
      </c>
      <c r="C104" s="1" t="s">
        <v>88</v>
      </c>
      <c r="D104" s="1">
        <v>47068.681165109301</v>
      </c>
      <c r="E104" s="1">
        <v>52728.690665658251</v>
      </c>
      <c r="F104" s="1">
        <v>10003.399951374129</v>
      </c>
      <c r="G104" s="1">
        <v>19050.71352588779</v>
      </c>
      <c r="H104" s="1">
        <v>12248.278168092082</v>
      </c>
      <c r="I104" s="1">
        <v>96285.815569450686</v>
      </c>
      <c r="J104" s="1">
        <v>7660.7526322410777</v>
      </c>
      <c r="K104" s="1">
        <v>46901.499401261426</v>
      </c>
      <c r="L104" s="1">
        <v>53914.945663765873</v>
      </c>
      <c r="M104" s="1">
        <v>56505.58949495665</v>
      </c>
      <c r="N104" s="1">
        <v>54431.947910000003</v>
      </c>
      <c r="O104" s="1">
        <v>61765.896860000001</v>
      </c>
      <c r="P104" s="1">
        <v>69320.800220000005</v>
      </c>
      <c r="Q104" s="1">
        <v>56583.796950000004</v>
      </c>
      <c r="R104" s="1">
        <v>57795.662389999998</v>
      </c>
      <c r="S104" s="1">
        <v>60839.482770000002</v>
      </c>
      <c r="T104" s="1">
        <v>58843.342920000003</v>
      </c>
      <c r="U104" s="1">
        <v>60748.801469999999</v>
      </c>
      <c r="V104" s="1">
        <v>61855.801950000001</v>
      </c>
      <c r="W104" s="1">
        <v>63730.356720000003</v>
      </c>
      <c r="X104" s="1">
        <v>63339.22681</v>
      </c>
      <c r="Y104" s="1">
        <v>64572.075579999997</v>
      </c>
      <c r="Z104" s="1">
        <v>74111.39</v>
      </c>
      <c r="AA104" s="1">
        <v>82596.23</v>
      </c>
      <c r="AB104" s="1">
        <v>89266.36</v>
      </c>
      <c r="AC104" s="1">
        <v>92643.89</v>
      </c>
    </row>
    <row r="105" spans="1:29">
      <c r="A105" s="1">
        <f>VLOOKUP(B105,Legend!$C$32:$D$66,2,FALSE)</f>
        <v>12</v>
      </c>
      <c r="B105" s="1" t="s">
        <v>41</v>
      </c>
      <c r="C105" s="1" t="s">
        <v>88</v>
      </c>
      <c r="D105" s="1">
        <v>44430.017393818125</v>
      </c>
      <c r="E105" s="1">
        <v>46552.849102102664</v>
      </c>
      <c r="F105" s="1">
        <v>48662.174177899898</v>
      </c>
      <c r="G105" s="1">
        <v>47318.750348713227</v>
      </c>
      <c r="H105" s="1">
        <v>58050.48435171762</v>
      </c>
      <c r="I105" s="1">
        <v>66603.317714970108</v>
      </c>
      <c r="J105" s="1">
        <v>73702.612646533526</v>
      </c>
      <c r="K105" s="1">
        <v>88797.105921819602</v>
      </c>
      <c r="L105" s="1">
        <v>104416.58622240824</v>
      </c>
      <c r="M105" s="1">
        <v>107086.00302466852</v>
      </c>
      <c r="N105" s="1">
        <v>122546.49842</v>
      </c>
      <c r="O105" s="1">
        <v>130765.51848</v>
      </c>
      <c r="P105" s="1">
        <v>143814.32394</v>
      </c>
      <c r="Q105" s="1">
        <v>145391.15005</v>
      </c>
      <c r="R105" s="1">
        <v>156672.44206999999</v>
      </c>
      <c r="S105" s="1">
        <v>150276.35415999999</v>
      </c>
      <c r="T105" s="1">
        <v>146923.82295</v>
      </c>
      <c r="U105" s="1">
        <v>156909.03245</v>
      </c>
      <c r="V105" s="1">
        <v>173072.38110999999</v>
      </c>
      <c r="W105" s="1">
        <v>166432.46932</v>
      </c>
      <c r="X105" s="1">
        <v>141711.04902000001</v>
      </c>
      <c r="Y105" s="1">
        <v>167677.23876000001</v>
      </c>
      <c r="Z105" s="1">
        <v>186490.72891999999</v>
      </c>
      <c r="AA105" s="1">
        <v>182912.03</v>
      </c>
      <c r="AB105" s="1">
        <v>205537.39</v>
      </c>
    </row>
    <row r="106" spans="1:29">
      <c r="A106" s="1">
        <f>VLOOKUP(B106,Legend!$C$32:$D$66,2,FALSE)</f>
        <v>13</v>
      </c>
      <c r="B106" s="1" t="s">
        <v>39</v>
      </c>
      <c r="C106" s="1" t="s">
        <v>88</v>
      </c>
      <c r="D106" s="1">
        <v>21104.468084227661</v>
      </c>
      <c r="E106" s="1">
        <v>18231.6941148681</v>
      </c>
      <c r="F106" s="1">
        <v>17913.257574803629</v>
      </c>
      <c r="G106" s="1">
        <v>22705.000931784769</v>
      </c>
      <c r="H106" s="1">
        <v>22784.930307193717</v>
      </c>
      <c r="I106" s="1">
        <v>31382.310842665276</v>
      </c>
      <c r="J106" s="1">
        <v>34239.748475579792</v>
      </c>
      <c r="K106" s="1">
        <v>47008.301388949396</v>
      </c>
      <c r="L106" s="1">
        <v>67924.513614539275</v>
      </c>
      <c r="M106" s="1">
        <v>66506.50431920345</v>
      </c>
      <c r="N106" s="1">
        <v>72440.347110000002</v>
      </c>
      <c r="O106" s="1">
        <v>81334.430489999999</v>
      </c>
      <c r="P106" s="1">
        <v>131909.61248000001</v>
      </c>
      <c r="Q106" s="1">
        <v>55388.116719999998</v>
      </c>
      <c r="R106" s="1">
        <v>92359.372629999998</v>
      </c>
      <c r="S106" s="1">
        <v>85079.151629999993</v>
      </c>
      <c r="T106" s="1">
        <v>85154.256359999999</v>
      </c>
      <c r="U106" s="1">
        <v>88634.019629999995</v>
      </c>
      <c r="V106" s="1">
        <v>91965.664730000004</v>
      </c>
      <c r="W106" s="1">
        <v>93840.484840000005</v>
      </c>
      <c r="X106" s="1">
        <v>72768.678109999993</v>
      </c>
      <c r="Y106" s="1">
        <v>74090.668189999997</v>
      </c>
      <c r="Z106" s="1">
        <v>77800.39</v>
      </c>
      <c r="AA106" s="1">
        <v>83412.62</v>
      </c>
      <c r="AB106" s="1">
        <v>96791</v>
      </c>
    </row>
    <row r="107" spans="1:29">
      <c r="A107" s="1">
        <f>VLOOKUP(B107,Legend!$C$32:$D$66,2,FALSE)</f>
        <v>14</v>
      </c>
      <c r="B107" s="1" t="s">
        <v>4</v>
      </c>
      <c r="C107" s="1" t="s">
        <v>88</v>
      </c>
      <c r="D107" s="1">
        <v>54216.148965566535</v>
      </c>
      <c r="E107" s="1">
        <v>51298.926492665807</v>
      </c>
      <c r="F107" s="1">
        <v>50898.567427958762</v>
      </c>
      <c r="G107" s="1">
        <v>39895.84959005141</v>
      </c>
      <c r="H107" s="1">
        <v>42707.284560750959</v>
      </c>
      <c r="I107" s="1">
        <v>48275.346973606524</v>
      </c>
      <c r="J107" s="1">
        <v>53255.145777911683</v>
      </c>
      <c r="K107" s="1">
        <v>58360.432440932986</v>
      </c>
      <c r="L107" s="1">
        <v>63392.750856166414</v>
      </c>
      <c r="M107" s="1">
        <v>67325.118848091413</v>
      </c>
      <c r="N107" s="1">
        <v>73158.331179999994</v>
      </c>
      <c r="O107" s="1">
        <v>122324.37573</v>
      </c>
      <c r="P107" s="1">
        <v>150552.28550999999</v>
      </c>
      <c r="Q107" s="1">
        <v>142392.02768</v>
      </c>
      <c r="R107" s="1">
        <v>96083.702950000006</v>
      </c>
      <c r="S107" s="1">
        <v>58906.877059999999</v>
      </c>
      <c r="T107" s="1">
        <v>42294.336239999997</v>
      </c>
      <c r="U107" s="1">
        <v>63680.857250000001</v>
      </c>
      <c r="V107" s="1">
        <v>67378.677630000006</v>
      </c>
      <c r="W107" s="1">
        <v>66683.147119999994</v>
      </c>
      <c r="X107" s="1">
        <v>77890.365560000006</v>
      </c>
      <c r="Y107" s="1">
        <v>131990.47153000001</v>
      </c>
      <c r="Z107" s="1">
        <v>173960.28</v>
      </c>
      <c r="AA107" s="1">
        <v>179971.5</v>
      </c>
      <c r="AB107" s="1">
        <v>183072.84</v>
      </c>
    </row>
    <row r="108" spans="1:29">
      <c r="A108" s="1">
        <f>VLOOKUP(B108,Legend!$C$32:$D$66,2,FALSE)</f>
        <v>15</v>
      </c>
      <c r="B108" s="1" t="s">
        <v>5</v>
      </c>
      <c r="C108" s="1" t="s">
        <v>88</v>
      </c>
      <c r="D108" s="1">
        <v>17783.502786893383</v>
      </c>
      <c r="E108" s="1">
        <v>20141.553854638227</v>
      </c>
      <c r="F108" s="1">
        <v>20219.398758214862</v>
      </c>
      <c r="G108" s="1">
        <v>22447.578038148567</v>
      </c>
      <c r="H108" s="1">
        <v>24569.778795177583</v>
      </c>
      <c r="I108" s="1">
        <v>29043.281533217058</v>
      </c>
      <c r="J108" s="1">
        <v>33032.108908610026</v>
      </c>
      <c r="K108" s="1">
        <v>39214.281475880016</v>
      </c>
      <c r="L108" s="1">
        <v>42469.615696984671</v>
      </c>
      <c r="M108" s="1">
        <v>45827.438575717177</v>
      </c>
      <c r="N108" s="1">
        <v>59114.622000000003</v>
      </c>
      <c r="O108" s="1">
        <v>52687.607000000004</v>
      </c>
      <c r="P108" s="1">
        <v>53859.406000000003</v>
      </c>
      <c r="Q108" s="1">
        <v>52346.212</v>
      </c>
      <c r="R108" s="1">
        <v>53876.383000000002</v>
      </c>
      <c r="S108" s="1">
        <v>58201.042000000001</v>
      </c>
      <c r="T108" s="1">
        <v>58984.41</v>
      </c>
      <c r="U108" s="1">
        <v>65943.399999999994</v>
      </c>
      <c r="V108" s="1">
        <v>71180.25</v>
      </c>
      <c r="W108" s="1">
        <v>73939.199999999997</v>
      </c>
      <c r="X108" s="1">
        <v>63075.79</v>
      </c>
      <c r="Y108" s="1">
        <v>68455.399999999994</v>
      </c>
      <c r="Z108" s="1">
        <v>68726.23</v>
      </c>
      <c r="AA108" s="1">
        <v>66118.210000000006</v>
      </c>
      <c r="AB108" s="1">
        <v>68696.97</v>
      </c>
    </row>
    <row r="109" spans="1:29">
      <c r="A109" s="1">
        <f>VLOOKUP(B109,Legend!$C$32:$D$66,2,FALSE)</f>
        <v>16</v>
      </c>
      <c r="B109" s="1" t="s">
        <v>40</v>
      </c>
      <c r="C109" s="1" t="s">
        <v>88</v>
      </c>
      <c r="D109" s="1">
        <v>41730.73543726762</v>
      </c>
      <c r="E109" s="1">
        <v>42302.783294164146</v>
      </c>
      <c r="F109" s="1">
        <v>44708.491516864793</v>
      </c>
      <c r="G109" s="1">
        <v>41289.252542289876</v>
      </c>
      <c r="H109" s="1">
        <v>45562.489145214087</v>
      </c>
      <c r="I109" s="1">
        <v>49212.350756044296</v>
      </c>
      <c r="J109" s="1">
        <v>51381.797709207887</v>
      </c>
      <c r="K109" s="1">
        <v>57133.558560952806</v>
      </c>
      <c r="L109" s="1">
        <v>62026.012705099187</v>
      </c>
      <c r="M109" s="1">
        <v>67509.005946692327</v>
      </c>
      <c r="N109" s="1">
        <v>80477.129400000005</v>
      </c>
      <c r="O109" s="1">
        <v>95539.792619999993</v>
      </c>
      <c r="P109" s="1">
        <v>109755.329</v>
      </c>
      <c r="Q109" s="1">
        <v>113060.86676</v>
      </c>
      <c r="R109" s="1">
        <v>124225.88691</v>
      </c>
      <c r="S109" s="1">
        <v>118377.73405</v>
      </c>
      <c r="T109" s="1">
        <v>117787.51109</v>
      </c>
      <c r="U109" s="1">
        <v>141251.29224000001</v>
      </c>
      <c r="V109" s="1">
        <v>150938.59354</v>
      </c>
      <c r="W109" s="1">
        <v>121741.67954</v>
      </c>
      <c r="X109" s="1">
        <v>101631.87328</v>
      </c>
      <c r="Y109" s="1">
        <v>99144.645789999995</v>
      </c>
      <c r="Z109" s="1">
        <v>130453.28</v>
      </c>
      <c r="AA109" s="1">
        <v>123713.48</v>
      </c>
      <c r="AB109" s="1">
        <v>113342.81</v>
      </c>
    </row>
    <row r="110" spans="1:29">
      <c r="A110" s="1">
        <f>VLOOKUP(B110,Legend!$C$32:$D$66,2,FALSE)</f>
        <v>17</v>
      </c>
      <c r="B110" s="1" t="s">
        <v>6</v>
      </c>
      <c r="C110" s="1" t="s">
        <v>88</v>
      </c>
      <c r="D110" s="1">
        <v>10043.580642494489</v>
      </c>
      <c r="E110" s="1">
        <v>9977.3847976287452</v>
      </c>
      <c r="F110" s="1">
        <v>10230.90516689439</v>
      </c>
      <c r="G110" s="1">
        <v>10488.29847891319</v>
      </c>
      <c r="H110" s="1">
        <v>11688.341697197722</v>
      </c>
      <c r="I110" s="1">
        <v>13281.511322542119</v>
      </c>
      <c r="J110" s="1">
        <v>13983.841435940925</v>
      </c>
      <c r="K110" s="1">
        <v>15409.392835990835</v>
      </c>
      <c r="L110" s="1">
        <v>17107.396726420473</v>
      </c>
      <c r="M110" s="1">
        <v>16858.244708132945</v>
      </c>
      <c r="N110" s="1">
        <v>18092.749589999999</v>
      </c>
      <c r="O110" s="1">
        <v>20334.38567</v>
      </c>
      <c r="P110" s="1">
        <v>22407.652050000001</v>
      </c>
      <c r="Q110" s="1">
        <v>22916.774000000001</v>
      </c>
      <c r="R110" s="1">
        <v>24205.030569999999</v>
      </c>
      <c r="S110" s="1">
        <v>25676.343970000002</v>
      </c>
      <c r="T110" s="1">
        <v>26796.021410000001</v>
      </c>
      <c r="U110" s="1">
        <v>28895.269400000001</v>
      </c>
      <c r="V110" s="1">
        <v>29562.645059999999</v>
      </c>
      <c r="W110" s="1">
        <v>30477.64343</v>
      </c>
      <c r="X110" s="1">
        <v>29823.34821</v>
      </c>
      <c r="Y110" s="1">
        <v>30857.961190000002</v>
      </c>
      <c r="Z110" s="1">
        <v>32101.013139999999</v>
      </c>
      <c r="AA110" s="1">
        <v>33033.714999999997</v>
      </c>
      <c r="AB110" s="1">
        <v>34078.352299999999</v>
      </c>
    </row>
    <row r="111" spans="1:29">
      <c r="A111" s="1">
        <f>VLOOKUP(B111,Legend!$C$32:$D$66,2,FALSE)</f>
        <v>18</v>
      </c>
      <c r="B111" s="1" t="s">
        <v>7</v>
      </c>
      <c r="C111" s="1" t="s">
        <v>88</v>
      </c>
      <c r="D111" s="1">
        <v>39169.118797456911</v>
      </c>
      <c r="E111" s="1">
        <v>37796.470885053277</v>
      </c>
      <c r="F111" s="1">
        <v>42931.043126252291</v>
      </c>
      <c r="G111" s="1">
        <v>45498.099212642002</v>
      </c>
      <c r="H111" s="1">
        <v>35855.55526079121</v>
      </c>
      <c r="I111" s="1">
        <v>39414.983622828069</v>
      </c>
      <c r="J111" s="1">
        <v>42136.767263519199</v>
      </c>
      <c r="K111" s="1">
        <v>43590.463527639891</v>
      </c>
      <c r="L111" s="1">
        <v>64905.266197843324</v>
      </c>
      <c r="M111" s="1">
        <v>67659.337749511498</v>
      </c>
      <c r="N111" s="1">
        <v>57311.391499999998</v>
      </c>
      <c r="O111" s="1">
        <v>65875.587180000002</v>
      </c>
      <c r="P111" s="1">
        <v>88963.934630000003</v>
      </c>
      <c r="Q111" s="1">
        <v>86553.21153</v>
      </c>
      <c r="R111" s="1">
        <v>91012.275410000002</v>
      </c>
      <c r="S111" s="1">
        <v>87855.872199999998</v>
      </c>
      <c r="T111" s="1">
        <v>88743.641610000006</v>
      </c>
      <c r="U111" s="1">
        <v>95546.284409999993</v>
      </c>
      <c r="V111" s="1">
        <v>109174.57296</v>
      </c>
      <c r="W111" s="1">
        <v>113608.50129</v>
      </c>
      <c r="X111" s="1">
        <v>107106.59385999999</v>
      </c>
      <c r="Y111" s="1">
        <v>122697.45759999999</v>
      </c>
      <c r="Z111" s="1">
        <v>128068.75032000001</v>
      </c>
      <c r="AA111" s="1">
        <v>135986.56375999999</v>
      </c>
      <c r="AB111" s="1">
        <v>149769.95000000001</v>
      </c>
      <c r="AC111" s="1">
        <v>22850.19</v>
      </c>
    </row>
    <row r="112" spans="1:29">
      <c r="A112" s="1">
        <f>VLOOKUP(B112,Legend!$C$32:$D$66,2,FALSE)</f>
        <v>19</v>
      </c>
      <c r="B112" s="1" t="s">
        <v>28</v>
      </c>
      <c r="C112" s="1" t="s">
        <v>88</v>
      </c>
      <c r="D112" s="1">
        <v>4625.4788975752017</v>
      </c>
      <c r="E112" s="1">
        <v>5943.5070387488358</v>
      </c>
      <c r="F112" s="1">
        <v>5740.1462644550656</v>
      </c>
      <c r="G112" s="1">
        <v>6335.8863586668731</v>
      </c>
      <c r="H112" s="1">
        <v>13747.566807285259</v>
      </c>
      <c r="I112" s="1">
        <v>15868.842600864429</v>
      </c>
      <c r="J112" s="1">
        <v>16468.726391513588</v>
      </c>
      <c r="K112" s="1">
        <v>16332.509888785578</v>
      </c>
      <c r="L112" s="1">
        <v>16263.18792692344</v>
      </c>
      <c r="M112" s="1">
        <v>16578.788130097917</v>
      </c>
      <c r="N112" s="1">
        <v>16708.846560000002</v>
      </c>
      <c r="O112" s="1">
        <v>24220.7101</v>
      </c>
      <c r="P112" s="1">
        <v>21254.281080000001</v>
      </c>
      <c r="Q112" s="1">
        <v>23391.633979999999</v>
      </c>
      <c r="R112" s="1">
        <v>28282.352279999999</v>
      </c>
      <c r="S112" s="1">
        <v>21819.72393</v>
      </c>
      <c r="T112" s="1">
        <v>18484.763319999998</v>
      </c>
      <c r="U112" s="1">
        <v>23981.257610000001</v>
      </c>
      <c r="V112" s="1">
        <v>23986.278780000001</v>
      </c>
      <c r="W112" s="1">
        <v>19290.485509999999</v>
      </c>
      <c r="X112" s="1">
        <v>17059.954819999999</v>
      </c>
      <c r="Y112" s="1">
        <v>26792.309700000002</v>
      </c>
      <c r="Z112" s="1">
        <v>25607.627349999999</v>
      </c>
      <c r="AA112" s="1">
        <v>18901.072199999999</v>
      </c>
      <c r="AB112" s="1">
        <v>14695.74012</v>
      </c>
    </row>
    <row r="113" spans="1:29">
      <c r="A113" s="1">
        <f>VLOOKUP(B113,Legend!$C$32:$D$66,2,FALSE)</f>
        <v>21</v>
      </c>
      <c r="B113" s="1" t="s">
        <v>29</v>
      </c>
      <c r="C113" s="1" t="s">
        <v>88</v>
      </c>
      <c r="G113" s="1">
        <v>46789.163229710153</v>
      </c>
      <c r="H113" s="1">
        <v>69109.748059997699</v>
      </c>
      <c r="I113" s="1">
        <v>85966.947589781485</v>
      </c>
      <c r="J113" s="1">
        <v>87746.887534126174</v>
      </c>
      <c r="K113" s="1">
        <v>102278.64897020516</v>
      </c>
      <c r="L113" s="1">
        <v>120600.49994766926</v>
      </c>
      <c r="M113" s="1">
        <v>129864.42951615143</v>
      </c>
      <c r="N113" s="1">
        <v>147687.27632</v>
      </c>
      <c r="O113" s="1">
        <v>223476.23517</v>
      </c>
      <c r="P113" s="1">
        <v>189998.6061</v>
      </c>
      <c r="Q113" s="1">
        <v>213688.49163</v>
      </c>
      <c r="R113" s="1">
        <v>214272.77122</v>
      </c>
      <c r="S113" s="1">
        <v>221922.08624</v>
      </c>
      <c r="T113" s="1">
        <v>230373.56763000001</v>
      </c>
      <c r="U113" s="1">
        <v>229758.39721</v>
      </c>
      <c r="V113" s="1">
        <v>237566.50828000001</v>
      </c>
      <c r="W113" s="1">
        <v>249613.05324000001</v>
      </c>
      <c r="X113" s="1">
        <v>244692.56696</v>
      </c>
      <c r="Y113" s="1">
        <v>264495.02633000002</v>
      </c>
      <c r="Z113" s="1">
        <v>294894.12</v>
      </c>
      <c r="AA113" s="1">
        <v>287211.5</v>
      </c>
      <c r="AB113" s="1">
        <v>297789.96000000002</v>
      </c>
      <c r="AC113" s="1">
        <v>230283.54</v>
      </c>
    </row>
    <row r="114" spans="1:29">
      <c r="A114" s="1">
        <f>VLOOKUP(B114,Legend!$C$32:$D$66,2,FALSE)</f>
        <v>31</v>
      </c>
      <c r="B114" s="1" t="s">
        <v>8</v>
      </c>
      <c r="C114" s="1" t="s">
        <v>88</v>
      </c>
      <c r="D114" s="1">
        <v>318223.7601774162</v>
      </c>
      <c r="E114" s="1">
        <v>250671.01709313813</v>
      </c>
      <c r="F114" s="1">
        <v>246132.11576095573</v>
      </c>
      <c r="G114" s="1">
        <v>299773.31591658032</v>
      </c>
      <c r="H114" s="1">
        <v>371693.19344943325</v>
      </c>
      <c r="I114" s="1">
        <v>438711.15911094367</v>
      </c>
      <c r="J114" s="1">
        <v>462595.04460040113</v>
      </c>
      <c r="K114" s="1">
        <v>519939.98361793428</v>
      </c>
      <c r="L114" s="1">
        <v>663228.07509715308</v>
      </c>
      <c r="M114" s="1">
        <v>653307.09090136841</v>
      </c>
      <c r="N114" s="1">
        <v>705332.41711627005</v>
      </c>
      <c r="O114" s="1">
        <v>821351.33650811005</v>
      </c>
      <c r="P114" s="1">
        <v>844132.82548832998</v>
      </c>
      <c r="Q114" s="1">
        <v>825842.82168000005</v>
      </c>
      <c r="R114" s="1">
        <v>831005.05339000002</v>
      </c>
      <c r="S114" s="1">
        <v>812085.05455</v>
      </c>
      <c r="T114" s="1">
        <v>803869.77110000001</v>
      </c>
      <c r="U114" s="1">
        <v>1005586.34555</v>
      </c>
      <c r="V114" s="1">
        <v>1286430.6144300001</v>
      </c>
      <c r="W114" s="1">
        <v>1210887.0278700001</v>
      </c>
      <c r="X114" s="1">
        <v>1079154.1883100001</v>
      </c>
      <c r="Y114" s="1">
        <v>1213500.92</v>
      </c>
      <c r="Z114" s="1">
        <v>1314952.67</v>
      </c>
      <c r="AA114" s="1">
        <v>1384981.69</v>
      </c>
      <c r="AB114" s="1">
        <v>1524662.34</v>
      </c>
    </row>
    <row r="115" spans="1:29">
      <c r="A115" s="1">
        <f>VLOOKUP(B115,Legend!$C$32:$D$66,2,FALSE)</f>
        <v>32</v>
      </c>
      <c r="B115" s="1" t="s">
        <v>21</v>
      </c>
      <c r="C115" s="1" t="s">
        <v>88</v>
      </c>
      <c r="D115" s="1">
        <v>194389.13141727986</v>
      </c>
      <c r="E115" s="1">
        <v>253095.38139615592</v>
      </c>
      <c r="F115" s="1">
        <v>369437.50925176422</v>
      </c>
      <c r="G115" s="1">
        <v>402028.55610907899</v>
      </c>
      <c r="H115" s="1">
        <v>438731.62968167261</v>
      </c>
      <c r="I115" s="1">
        <v>447570.05373877543</v>
      </c>
      <c r="J115" s="1">
        <v>399626.13593408046</v>
      </c>
      <c r="K115" s="1">
        <v>370304.68067785044</v>
      </c>
      <c r="L115" s="1">
        <v>330107.00796054926</v>
      </c>
      <c r="M115" s="1">
        <v>318334.5573975739</v>
      </c>
      <c r="N115" s="1">
        <v>346048.36849999998</v>
      </c>
      <c r="O115" s="1">
        <v>398893.30501119001</v>
      </c>
      <c r="P115" s="1">
        <v>464966.46526955999</v>
      </c>
      <c r="Q115" s="1">
        <v>368279.95445999998</v>
      </c>
      <c r="R115" s="1">
        <v>381830.49716999999</v>
      </c>
      <c r="S115" s="1">
        <v>390857.04584999999</v>
      </c>
      <c r="T115" s="1">
        <v>391197.33909000002</v>
      </c>
      <c r="U115" s="1">
        <v>439013.44672000001</v>
      </c>
      <c r="V115" s="1">
        <v>485078.84776999999</v>
      </c>
      <c r="W115" s="1">
        <v>513431.13678</v>
      </c>
      <c r="X115" s="1">
        <v>432249.83746000001</v>
      </c>
      <c r="Y115" s="1">
        <v>511346.46</v>
      </c>
      <c r="Z115" s="1">
        <v>556591.42714000004</v>
      </c>
      <c r="AA115" s="1">
        <v>654746.46505999996</v>
      </c>
      <c r="AB115" s="1">
        <v>753395.91159999999</v>
      </c>
    </row>
    <row r="116" spans="1:29">
      <c r="A116" s="1">
        <f>VLOOKUP(B116,Legend!$C$32:$D$66,2,FALSE)</f>
        <v>33</v>
      </c>
      <c r="B116" s="1" t="s">
        <v>22</v>
      </c>
      <c r="C116" s="1" t="s">
        <v>88</v>
      </c>
      <c r="D116" s="1">
        <v>82761.966562803602</v>
      </c>
      <c r="E116" s="1">
        <v>73973.987373803277</v>
      </c>
      <c r="F116" s="1">
        <v>70866.608398908225</v>
      </c>
      <c r="G116" s="1">
        <v>78653.773741331184</v>
      </c>
      <c r="H116" s="1">
        <v>82513.449806498495</v>
      </c>
      <c r="I116" s="1">
        <v>90541.515776516273</v>
      </c>
      <c r="J116" s="1">
        <v>87526.019556666186</v>
      </c>
      <c r="K116" s="1">
        <v>88692.955906804506</v>
      </c>
      <c r="L116" s="1">
        <v>101758.25452408184</v>
      </c>
      <c r="M116" s="1">
        <v>93219.828010283061</v>
      </c>
      <c r="N116" s="1">
        <v>97675.34</v>
      </c>
      <c r="O116" s="1">
        <v>105571.11</v>
      </c>
      <c r="P116" s="1">
        <v>112615.21</v>
      </c>
      <c r="Q116" s="1">
        <v>127813.41314</v>
      </c>
      <c r="R116" s="1">
        <v>118498.48118</v>
      </c>
      <c r="S116" s="1">
        <v>99894.365550000002</v>
      </c>
      <c r="T116" s="1">
        <v>95528.921749999994</v>
      </c>
      <c r="U116" s="1">
        <v>104677.1257</v>
      </c>
      <c r="V116" s="1">
        <v>142739.89996000001</v>
      </c>
      <c r="W116" s="1">
        <v>133171.99092000001</v>
      </c>
      <c r="X116" s="1">
        <v>105879.99007</v>
      </c>
      <c r="Y116" s="1">
        <v>143700.5</v>
      </c>
      <c r="Z116" s="1">
        <v>166454.64454000001</v>
      </c>
      <c r="AA116" s="1">
        <v>161759.23000000001</v>
      </c>
      <c r="AB116" s="1">
        <v>181874.93</v>
      </c>
      <c r="AC116" s="1">
        <v>181317.63</v>
      </c>
    </row>
    <row r="117" spans="1:29">
      <c r="A117" s="1">
        <f>VLOOKUP(B117,Legend!$C$32:$D$66,2,FALSE)</f>
        <v>34</v>
      </c>
      <c r="B117" s="1" t="s">
        <v>9</v>
      </c>
      <c r="C117" s="1" t="s">
        <v>88</v>
      </c>
      <c r="D117" s="1">
        <v>887.07303329683214</v>
      </c>
      <c r="E117" s="1">
        <v>963.84717706509321</v>
      </c>
      <c r="F117" s="1">
        <v>1022.2712503825342</v>
      </c>
      <c r="G117" s="1">
        <v>1106.8434194192332</v>
      </c>
      <c r="H117" s="1">
        <v>1160.4014959983676</v>
      </c>
      <c r="I117" s="1">
        <v>1213.2191314582913</v>
      </c>
      <c r="J117" s="1">
        <v>1262.9583422671335</v>
      </c>
      <c r="K117" s="1">
        <v>1326.9173756918542</v>
      </c>
      <c r="L117" s="1">
        <v>1403.7153909815509</v>
      </c>
      <c r="M117" s="1">
        <v>1451.164371435769</v>
      </c>
      <c r="N117" s="1">
        <v>1520.5198010300001</v>
      </c>
      <c r="O117" s="1">
        <v>1506.20060691</v>
      </c>
      <c r="P117" s="1">
        <v>1901.84635809</v>
      </c>
      <c r="Q117" s="1">
        <v>2241.62559311</v>
      </c>
      <c r="R117" s="1">
        <v>3228.5404663499999</v>
      </c>
      <c r="S117" s="1">
        <v>3728.7494000000002</v>
      </c>
      <c r="T117" s="1">
        <v>4492.5105800000001</v>
      </c>
      <c r="U117" s="1">
        <v>4905.22192</v>
      </c>
      <c r="V117" s="1">
        <v>5102.39066</v>
      </c>
      <c r="W117" s="1">
        <v>4503.1881400000002</v>
      </c>
      <c r="X117" s="1">
        <v>3833.5658600000002</v>
      </c>
      <c r="Y117" s="1">
        <v>4113.2564599999996</v>
      </c>
      <c r="Z117" s="1">
        <v>4121.0810000000001</v>
      </c>
      <c r="AA117" s="1">
        <v>4283.5963700000002</v>
      </c>
      <c r="AB117" s="1">
        <v>4502.4045599999999</v>
      </c>
      <c r="AC117" s="1">
        <v>4592</v>
      </c>
    </row>
    <row r="118" spans="1:29">
      <c r="A118" s="1">
        <f>VLOOKUP(B118,Legend!$C$32:$D$66,2,FALSE)</f>
        <v>35</v>
      </c>
      <c r="B118" s="1" t="s">
        <v>23</v>
      </c>
      <c r="C118" s="1" t="s">
        <v>88</v>
      </c>
      <c r="D118" s="1">
        <v>236729.96081450078</v>
      </c>
      <c r="E118" s="1">
        <v>231757.23872721297</v>
      </c>
      <c r="F118" s="1">
        <v>219435.95237210346</v>
      </c>
      <c r="G118" s="1">
        <v>223576.93343181859</v>
      </c>
      <c r="H118" s="1">
        <v>242554.66542713795</v>
      </c>
      <c r="I118" s="1">
        <v>276647.88779158512</v>
      </c>
      <c r="J118" s="1">
        <v>293892.97043709195</v>
      </c>
      <c r="K118" s="1">
        <v>309553.42247022962</v>
      </c>
      <c r="L118" s="1">
        <v>320437.76406280522</v>
      </c>
      <c r="M118" s="1">
        <v>319352.25790153834</v>
      </c>
      <c r="N118" s="1">
        <v>352137.21633000002</v>
      </c>
      <c r="O118" s="1">
        <v>405636.82021328999</v>
      </c>
      <c r="P118" s="1">
        <v>456290.36934666999</v>
      </c>
      <c r="Q118" s="1">
        <v>474424.22941000003</v>
      </c>
      <c r="R118" s="1">
        <v>557469.47083999997</v>
      </c>
      <c r="S118" s="1">
        <v>550072.44420000003</v>
      </c>
      <c r="T118" s="1">
        <v>595223.41911000002</v>
      </c>
      <c r="U118" s="1">
        <v>658436.77060000005</v>
      </c>
      <c r="V118" s="1">
        <v>717519.07365999999</v>
      </c>
      <c r="W118" s="1">
        <v>728779.55416000006</v>
      </c>
      <c r="X118" s="1">
        <v>697922.16914999997</v>
      </c>
      <c r="Y118" s="1">
        <v>763819.49</v>
      </c>
      <c r="Z118" s="1">
        <v>843110.21</v>
      </c>
      <c r="AA118" s="1">
        <v>852969.36</v>
      </c>
      <c r="AB118" s="1">
        <v>940846.7</v>
      </c>
      <c r="AC118" s="1">
        <v>998510.48</v>
      </c>
    </row>
    <row r="119" spans="1:29">
      <c r="A119" s="1">
        <f>VLOOKUP(B119,Legend!$C$32:$D$66,2,FALSE)</f>
        <v>36</v>
      </c>
      <c r="B119" s="1" t="s">
        <v>10</v>
      </c>
      <c r="C119" s="1" t="s">
        <v>88</v>
      </c>
      <c r="D119" s="1">
        <v>100665.84593187264</v>
      </c>
      <c r="E119" s="1">
        <v>98707.849889158431</v>
      </c>
      <c r="F119" s="1">
        <v>109587.3022690362</v>
      </c>
      <c r="G119" s="1">
        <v>121482.56792764524</v>
      </c>
      <c r="H119" s="1">
        <v>136147.43554214592</v>
      </c>
      <c r="I119" s="1">
        <v>149117.05650811843</v>
      </c>
      <c r="J119" s="1">
        <v>166071.37165045043</v>
      </c>
      <c r="K119" s="1">
        <v>207069.16540973217</v>
      </c>
      <c r="L119" s="1">
        <v>229041.7368044522</v>
      </c>
      <c r="M119" s="1">
        <v>194922.84793157593</v>
      </c>
      <c r="N119" s="1">
        <v>225555.16649999999</v>
      </c>
      <c r="O119" s="1">
        <v>239024.93427</v>
      </c>
      <c r="P119" s="1">
        <v>263272.89588000003</v>
      </c>
      <c r="Q119" s="1">
        <v>249609.37508999999</v>
      </c>
      <c r="R119" s="1">
        <v>257090.99742999999</v>
      </c>
      <c r="S119" s="1">
        <v>265819.42118</v>
      </c>
      <c r="T119" s="1">
        <v>271158.55871999997</v>
      </c>
      <c r="U119" s="1">
        <v>303354.78107000003</v>
      </c>
      <c r="V119" s="1">
        <v>310806.38462999999</v>
      </c>
      <c r="W119" s="1">
        <v>306020.47528000001</v>
      </c>
      <c r="X119" s="1">
        <v>296049.51598000003</v>
      </c>
      <c r="Y119" s="1">
        <v>321165.00203999999</v>
      </c>
      <c r="Z119" s="1">
        <v>342844.84</v>
      </c>
      <c r="AA119" s="1">
        <v>340277.99</v>
      </c>
      <c r="AB119" s="1">
        <v>369862.47</v>
      </c>
      <c r="AC119" s="1">
        <v>377238.37</v>
      </c>
    </row>
    <row r="120" spans="1:29">
      <c r="A120" s="1">
        <f>VLOOKUP(B120,Legend!$C$32:$D$66,2,FALSE)</f>
        <v>51</v>
      </c>
      <c r="B120" s="1" t="s">
        <v>11</v>
      </c>
      <c r="C120" s="1" t="s">
        <v>88</v>
      </c>
      <c r="D120" s="1">
        <v>2809.8628619747892</v>
      </c>
      <c r="E120" s="1">
        <v>2815.6951168379155</v>
      </c>
      <c r="F120" s="1">
        <v>2914.3414021460835</v>
      </c>
      <c r="G120" s="1">
        <v>3058.1912204158521</v>
      </c>
      <c r="H120" s="1">
        <v>5457.7953757087007</v>
      </c>
      <c r="I120" s="1">
        <v>6325.6776341407685</v>
      </c>
      <c r="J120" s="1">
        <v>5669.4350164188827</v>
      </c>
      <c r="K120" s="1">
        <v>7383.0606094537588</v>
      </c>
      <c r="L120" s="1">
        <v>10073.3074058191</v>
      </c>
      <c r="M120" s="1">
        <v>11970.651705754337</v>
      </c>
      <c r="N120" s="1">
        <v>13334.40595</v>
      </c>
      <c r="O120" s="1">
        <v>11705.052</v>
      </c>
      <c r="P120" s="1">
        <v>6025.5787899999996</v>
      </c>
      <c r="Q120" s="1">
        <v>8053.8849899999996</v>
      </c>
      <c r="R120" s="1">
        <v>10276.550999999999</v>
      </c>
      <c r="S120" s="1">
        <v>9263.6550299999999</v>
      </c>
      <c r="T120" s="1">
        <v>11369.062970000001</v>
      </c>
      <c r="U120" s="1">
        <v>13317.176670000001</v>
      </c>
      <c r="V120" s="1">
        <v>16568.49135</v>
      </c>
      <c r="W120" s="1">
        <v>14315.440909999999</v>
      </c>
      <c r="X120" s="1">
        <v>3123.4214200000001</v>
      </c>
      <c r="Y120" s="1">
        <v>549.11828000000003</v>
      </c>
      <c r="Z120" s="1">
        <v>4036.9927400000001</v>
      </c>
      <c r="AA120" s="1">
        <v>8027.55</v>
      </c>
      <c r="AB120" s="1">
        <v>9109.7999999999993</v>
      </c>
      <c r="AC120" s="1">
        <v>9682.4500000000007</v>
      </c>
    </row>
    <row r="121" spans="1:29">
      <c r="A121" s="1">
        <f>VLOOKUP(B121,Legend!$C$32:$D$66,2,FALSE)</f>
        <v>52</v>
      </c>
      <c r="B121" s="1" t="s">
        <v>31</v>
      </c>
      <c r="C121" s="1" t="s">
        <v>88</v>
      </c>
      <c r="D121" s="1">
        <v>23188.096284741918</v>
      </c>
      <c r="E121" s="1">
        <v>23393.371664091756</v>
      </c>
      <c r="F121" s="1">
        <v>24117.740700370945</v>
      </c>
      <c r="G121" s="1">
        <v>24330.905644882609</v>
      </c>
      <c r="H121" s="1">
        <v>26618.524228486127</v>
      </c>
      <c r="I121" s="1">
        <v>29875.346534236043</v>
      </c>
      <c r="J121" s="1">
        <v>31441.959529966731</v>
      </c>
      <c r="K121" s="1">
        <v>33051.20291617723</v>
      </c>
      <c r="L121" s="1">
        <v>34379.598150906619</v>
      </c>
      <c r="M121" s="1">
        <v>35747.291005859253</v>
      </c>
      <c r="N121" s="1">
        <v>36180.682150000001</v>
      </c>
      <c r="O121" s="1">
        <v>29628.86578</v>
      </c>
      <c r="P121" s="1">
        <v>30802.615330000001</v>
      </c>
      <c r="Q121" s="1">
        <v>28266.501799999998</v>
      </c>
      <c r="R121" s="1">
        <v>25478.013800000001</v>
      </c>
      <c r="S121" s="1">
        <v>25478.811839999998</v>
      </c>
      <c r="T121" s="1">
        <v>26759.041590000001</v>
      </c>
      <c r="U121" s="1">
        <v>27087.78602</v>
      </c>
      <c r="V121" s="1">
        <v>29821.90756</v>
      </c>
      <c r="W121" s="1">
        <v>34449.962659999997</v>
      </c>
      <c r="X121" s="1">
        <v>33625.751839999997</v>
      </c>
      <c r="Y121" s="1">
        <v>36161.248760000002</v>
      </c>
      <c r="Z121" s="1">
        <v>44202.479059999998</v>
      </c>
      <c r="AA121" s="1">
        <v>43470.705860000002</v>
      </c>
      <c r="AB121" s="1">
        <v>45151</v>
      </c>
      <c r="AC121" s="1">
        <v>39884.370000000003</v>
      </c>
    </row>
    <row r="122" spans="1:29">
      <c r="A122" s="1">
        <f>VLOOKUP(B122,Legend!$C$32:$D$66,2,FALSE)</f>
        <v>53</v>
      </c>
      <c r="B122" s="1" t="s">
        <v>32</v>
      </c>
      <c r="C122" s="1" t="s">
        <v>88</v>
      </c>
      <c r="D122" s="1">
        <v>8463.0076941539592</v>
      </c>
      <c r="E122" s="1">
        <v>10026.84774606278</v>
      </c>
      <c r="F122" s="1">
        <v>11053.717523082712</v>
      </c>
      <c r="G122" s="1">
        <v>11086.080926049508</v>
      </c>
      <c r="H122" s="1">
        <v>13314.675605417437</v>
      </c>
      <c r="I122" s="1">
        <v>15371.303055070619</v>
      </c>
      <c r="J122" s="1">
        <v>17188.965494724103</v>
      </c>
      <c r="K122" s="1">
        <v>18934.081371859789</v>
      </c>
      <c r="L122" s="1">
        <v>20076.23231852067</v>
      </c>
      <c r="M122" s="1">
        <v>20175.002485269317</v>
      </c>
      <c r="N122" s="1">
        <v>21481.661146679999</v>
      </c>
      <c r="O122" s="1">
        <v>25619.90194638</v>
      </c>
      <c r="P122" s="1">
        <v>30339.042573890001</v>
      </c>
      <c r="Q122" s="1">
        <v>28489.397239999998</v>
      </c>
      <c r="R122" s="1">
        <v>33829.797059999997</v>
      </c>
      <c r="S122" s="1">
        <v>42262.370439999999</v>
      </c>
      <c r="T122" s="1">
        <v>40039.738100000002</v>
      </c>
      <c r="U122" s="1">
        <v>41332.050490000001</v>
      </c>
      <c r="V122" s="1">
        <v>44139.775670000003</v>
      </c>
      <c r="W122" s="1">
        <v>45521.905279999999</v>
      </c>
      <c r="X122" s="1">
        <v>37909.275390000003</v>
      </c>
      <c r="Y122" s="1">
        <v>37135.859859999997</v>
      </c>
      <c r="Z122" s="1">
        <v>36191.149709999998</v>
      </c>
      <c r="AA122" s="1">
        <v>38205.062680000003</v>
      </c>
      <c r="AB122" s="1">
        <v>39406.45362</v>
      </c>
    </row>
    <row r="123" spans="1:29">
      <c r="A123" s="1">
        <f>VLOOKUP(B123,Legend!$C$32:$D$66,2,FALSE)</f>
        <v>61</v>
      </c>
      <c r="B123" s="1" t="s">
        <v>24</v>
      </c>
      <c r="C123" s="1" t="s">
        <v>88</v>
      </c>
      <c r="D123" s="1">
        <v>11248.125046869331</v>
      </c>
      <c r="E123" s="1">
        <v>10429.258565195669</v>
      </c>
      <c r="F123" s="1">
        <v>9394.1048431623603</v>
      </c>
      <c r="G123" s="1">
        <v>10287.28244480755</v>
      </c>
      <c r="H123" s="1">
        <v>10193.846491205497</v>
      </c>
      <c r="I123" s="1">
        <v>10461.636101930324</v>
      </c>
      <c r="J123" s="1">
        <v>12261.81483645154</v>
      </c>
      <c r="K123" s="1">
        <v>10765.968809109694</v>
      </c>
      <c r="L123" s="1">
        <v>12605.473369109111</v>
      </c>
      <c r="M123" s="1">
        <v>11916.236828311212</v>
      </c>
      <c r="N123" s="1">
        <v>13450.17877</v>
      </c>
      <c r="O123" s="1">
        <v>24014.77176</v>
      </c>
      <c r="P123" s="1">
        <v>19166.051930000001</v>
      </c>
      <c r="Q123" s="1">
        <v>20621.767769999999</v>
      </c>
      <c r="R123" s="1">
        <v>12293.71025</v>
      </c>
      <c r="S123" s="1">
        <v>12546.782359999999</v>
      </c>
      <c r="T123" s="1">
        <v>9917.5026500000004</v>
      </c>
      <c r="U123" s="1">
        <v>9243.3084199999994</v>
      </c>
      <c r="V123" s="1">
        <v>10073.735339999999</v>
      </c>
      <c r="W123" s="1">
        <v>10796.665230000001</v>
      </c>
      <c r="X123" s="1">
        <v>8514.4359199999999</v>
      </c>
      <c r="Y123" s="1">
        <v>7643.0195400000002</v>
      </c>
      <c r="Z123" s="1">
        <v>7714.75</v>
      </c>
      <c r="AA123" s="1">
        <v>12545.1</v>
      </c>
      <c r="AB123" s="1">
        <v>23320.25</v>
      </c>
    </row>
    <row r="124" spans="1:29">
      <c r="A124" s="1">
        <f>VLOOKUP(B124,Legend!$C$32:$D$66,2,FALSE)</f>
        <v>62</v>
      </c>
      <c r="B124" s="1" t="s">
        <v>26</v>
      </c>
      <c r="C124" s="1" t="s">
        <v>88</v>
      </c>
      <c r="D124" s="1">
        <v>13013.913671325716</v>
      </c>
      <c r="E124" s="1">
        <v>13168.738519527302</v>
      </c>
      <c r="F124" s="1">
        <v>13774.592272673064</v>
      </c>
      <c r="G124" s="1">
        <v>15216.810498196955</v>
      </c>
      <c r="H124" s="1">
        <v>14641.145849511064</v>
      </c>
      <c r="I124" s="1">
        <v>15835.984111502836</v>
      </c>
      <c r="J124" s="1">
        <v>17746.009822463348</v>
      </c>
      <c r="K124" s="1">
        <v>19442.038717906773</v>
      </c>
      <c r="L124" s="1">
        <v>21610.76686869387</v>
      </c>
      <c r="M124" s="1">
        <v>23777.301948624245</v>
      </c>
      <c r="N124" s="1">
        <v>26796</v>
      </c>
      <c r="O124" s="1">
        <v>28729.806</v>
      </c>
      <c r="P124" s="1">
        <v>30909.5</v>
      </c>
      <c r="Q124" s="1">
        <v>32582.1</v>
      </c>
      <c r="R124" s="1">
        <v>33240.815000000002</v>
      </c>
      <c r="S124" s="1">
        <v>35469.542999999998</v>
      </c>
      <c r="T124" s="1">
        <v>37145.748</v>
      </c>
      <c r="U124" s="1">
        <v>39105.5</v>
      </c>
      <c r="V124" s="1">
        <v>43144.3</v>
      </c>
      <c r="W124" s="1">
        <v>42831.6</v>
      </c>
      <c r="X124" s="1">
        <v>39957.300000000003</v>
      </c>
      <c r="Y124" s="1">
        <v>41818</v>
      </c>
      <c r="Z124" s="1">
        <v>43871.6</v>
      </c>
      <c r="AA124" s="1">
        <v>43986.9</v>
      </c>
      <c r="AB124" s="1">
        <v>44146</v>
      </c>
      <c r="AC124" s="1">
        <v>45853.7</v>
      </c>
    </row>
    <row r="125" spans="1:29">
      <c r="A125" s="1">
        <f>VLOOKUP(B125,Legend!$C$32:$D$66,2,FALSE)</f>
        <v>63</v>
      </c>
      <c r="B125" s="1" t="s">
        <v>25</v>
      </c>
      <c r="C125" s="1" t="s">
        <v>88</v>
      </c>
      <c r="D125" s="1">
        <v>23311.86796193603</v>
      </c>
      <c r="E125" s="1">
        <v>22877.848699567414</v>
      </c>
      <c r="F125" s="1">
        <v>23102.756161694797</v>
      </c>
      <c r="G125" s="1">
        <v>23571.738897592404</v>
      </c>
      <c r="H125" s="1">
        <v>24457.729786158259</v>
      </c>
      <c r="I125" s="1">
        <v>26086.869578203106</v>
      </c>
      <c r="J125" s="1">
        <v>45884.589591519369</v>
      </c>
      <c r="K125" s="1">
        <v>30258.988195630696</v>
      </c>
      <c r="L125" s="1">
        <v>30837.429144782029</v>
      </c>
      <c r="M125" s="1">
        <v>46562.417960170227</v>
      </c>
      <c r="N125" s="1">
        <v>60292.732349999998</v>
      </c>
      <c r="O125" s="1">
        <v>73712.172959999996</v>
      </c>
      <c r="P125" s="1">
        <v>74301.045610000001</v>
      </c>
      <c r="Q125" s="1">
        <v>72126.909759999995</v>
      </c>
      <c r="R125" s="1">
        <v>70422.31998</v>
      </c>
      <c r="S125" s="1">
        <v>63965.122750000002</v>
      </c>
      <c r="T125" s="1">
        <v>62063.177750000003</v>
      </c>
      <c r="U125" s="1">
        <v>68384.024300000005</v>
      </c>
      <c r="V125" s="1">
        <v>73747.281690000003</v>
      </c>
      <c r="W125" s="1">
        <v>74902.991880000001</v>
      </c>
      <c r="X125" s="1">
        <v>64759.264179999998</v>
      </c>
      <c r="Y125" s="1">
        <v>78189.951629999996</v>
      </c>
      <c r="Z125" s="1">
        <v>89521.900009999998</v>
      </c>
      <c r="AA125" s="1">
        <v>97085.11</v>
      </c>
      <c r="AB125" s="1">
        <v>102712.42</v>
      </c>
      <c r="AC125" s="1">
        <v>93916.67</v>
      </c>
    </row>
    <row r="126" spans="1:29">
      <c r="A126" s="1">
        <f>VLOOKUP(B126,Legend!$C$32:$D$66,2,FALSE)</f>
        <v>64</v>
      </c>
      <c r="B126" s="1" t="s">
        <v>27</v>
      </c>
      <c r="C126" s="1" t="s">
        <v>88</v>
      </c>
      <c r="D126" s="1">
        <v>109887.95318448747</v>
      </c>
      <c r="E126" s="1">
        <v>120254.32919561272</v>
      </c>
      <c r="F126" s="1">
        <v>118849.98718838784</v>
      </c>
      <c r="G126" s="1">
        <v>130349.51473700718</v>
      </c>
      <c r="H126" s="1">
        <v>147019.87025353333</v>
      </c>
      <c r="I126" s="1">
        <v>172457.35673382162</v>
      </c>
      <c r="J126" s="1">
        <v>190282.67560519325</v>
      </c>
      <c r="K126" s="1">
        <v>197918.17127261564</v>
      </c>
      <c r="L126" s="1">
        <v>211386.30168234481</v>
      </c>
      <c r="M126" s="1">
        <v>186097.39540184225</v>
      </c>
      <c r="N126" s="1">
        <v>190189.31018999999</v>
      </c>
      <c r="O126" s="1">
        <v>201760.97839999999</v>
      </c>
      <c r="P126" s="1">
        <v>216311.54801999999</v>
      </c>
      <c r="Q126" s="1">
        <v>224899.85483</v>
      </c>
      <c r="R126" s="1">
        <v>234505.33064</v>
      </c>
      <c r="S126" s="1">
        <v>234497.40807999999</v>
      </c>
      <c r="T126" s="1">
        <v>233832.0699</v>
      </c>
      <c r="U126" s="1">
        <v>243696.83108</v>
      </c>
      <c r="V126" s="1">
        <v>254241.78383</v>
      </c>
      <c r="W126" s="1">
        <v>267465.88319000002</v>
      </c>
      <c r="X126" s="1">
        <v>260092.12956</v>
      </c>
      <c r="Y126" s="1">
        <v>275847.51189999998</v>
      </c>
      <c r="Z126" s="1">
        <v>284869.92720999999</v>
      </c>
      <c r="AA126" s="1">
        <v>312710.26</v>
      </c>
      <c r="AB126" s="1">
        <v>340707.66</v>
      </c>
      <c r="AC126" s="1">
        <v>357600.46</v>
      </c>
    </row>
    <row r="127" spans="1:29">
      <c r="A127" s="1">
        <f>VLOOKUP(B127,Legend!$C$32:$D$66,2,FALSE)</f>
        <v>65</v>
      </c>
      <c r="B127" s="1" t="s">
        <v>46</v>
      </c>
      <c r="C127" s="1" t="s">
        <v>88</v>
      </c>
      <c r="N127" s="1">
        <v>15811.129300000001</v>
      </c>
      <c r="O127" s="1">
        <v>16816.232399999997</v>
      </c>
      <c r="P127" s="1">
        <v>18301.161410000001</v>
      </c>
      <c r="Q127" s="1">
        <v>19779.800810000001</v>
      </c>
      <c r="R127" s="1">
        <v>21603.61537</v>
      </c>
      <c r="S127" s="1">
        <v>21876.401529999999</v>
      </c>
      <c r="T127" s="1">
        <v>22762.322049999999</v>
      </c>
      <c r="U127" s="1">
        <v>23733.629580000001</v>
      </c>
      <c r="V127" s="1">
        <v>25323.149379999999</v>
      </c>
      <c r="W127" s="1">
        <v>29058.203280000002</v>
      </c>
      <c r="X127" s="1">
        <v>30490.771909999999</v>
      </c>
      <c r="Y127" s="1">
        <v>36742.693059999998</v>
      </c>
      <c r="Z127" s="1">
        <v>39018.789400000001</v>
      </c>
      <c r="AA127" s="1">
        <v>40036.127399999998</v>
      </c>
      <c r="AB127" s="1">
        <v>40747.758500000004</v>
      </c>
      <c r="AC127" s="1">
        <v>41090.865899999997</v>
      </c>
    </row>
    <row r="128" spans="1:29">
      <c r="A128" s="1">
        <f>VLOOKUP(B128,Legend!$C$32:$D$66,2,FALSE)</f>
        <v>71</v>
      </c>
      <c r="B128" s="1" t="s">
        <v>38</v>
      </c>
      <c r="C128" s="1" t="s">
        <v>88</v>
      </c>
      <c r="D128" s="1">
        <v>6602.3923646030735</v>
      </c>
      <c r="E128" s="1">
        <v>3770.9506147021261</v>
      </c>
      <c r="F128" s="1">
        <v>3942.5888758935666</v>
      </c>
      <c r="G128" s="1">
        <v>5330.1190784519331</v>
      </c>
      <c r="H128" s="1">
        <v>8963.0307641553973</v>
      </c>
      <c r="I128" s="1">
        <v>10427.205254398319</v>
      </c>
      <c r="J128" s="1">
        <v>10145.668246630727</v>
      </c>
      <c r="K128" s="1">
        <v>10949.74753087086</v>
      </c>
      <c r="L128" s="1">
        <v>13304.898832444082</v>
      </c>
      <c r="M128" s="1">
        <v>12968.458584922579</v>
      </c>
      <c r="N128" s="1">
        <v>15105.779</v>
      </c>
      <c r="O128" s="1">
        <v>22884.602999999999</v>
      </c>
      <c r="P128" s="1">
        <v>27897.861000000001</v>
      </c>
      <c r="Q128" s="1">
        <v>22218.039000000001</v>
      </c>
      <c r="R128" s="1">
        <v>25072.228999999999</v>
      </c>
      <c r="S128" s="1">
        <v>21575.440999999999</v>
      </c>
      <c r="T128" s="1">
        <v>23428.114000000001</v>
      </c>
      <c r="U128" s="1">
        <v>23258.127</v>
      </c>
      <c r="V128" s="1">
        <v>24730.781999999999</v>
      </c>
      <c r="W128" s="1">
        <v>24468.227999999999</v>
      </c>
      <c r="X128" s="1">
        <v>21659.802</v>
      </c>
      <c r="Y128" s="1">
        <v>23988.865089999999</v>
      </c>
      <c r="Z128" s="1">
        <v>23487.286270000001</v>
      </c>
      <c r="AA128" s="1">
        <v>23580.668720000001</v>
      </c>
      <c r="AB128" s="1">
        <v>23530.862000000001</v>
      </c>
    </row>
    <row r="129" spans="1:29">
      <c r="A129" s="1">
        <f>VLOOKUP(B129,Legend!$C$32:$D$66,2,FALSE)</f>
        <v>72</v>
      </c>
      <c r="B129" s="1" t="s">
        <v>36</v>
      </c>
      <c r="C129" s="1" t="s">
        <v>88</v>
      </c>
      <c r="D129" s="1">
        <v>9611.3461506895619</v>
      </c>
      <c r="E129" s="1">
        <v>9836.9670887907323</v>
      </c>
      <c r="F129" s="1">
        <v>10158.800374915265</v>
      </c>
      <c r="G129" s="1">
        <v>10326.00583489087</v>
      </c>
      <c r="H129" s="1">
        <v>10622.645760890719</v>
      </c>
      <c r="I129" s="1">
        <v>10982.183090562472</v>
      </c>
      <c r="J129" s="1">
        <v>11527.678534501434</v>
      </c>
      <c r="K129" s="1">
        <v>20075.360624411176</v>
      </c>
      <c r="L129" s="1">
        <v>21190.874117861924</v>
      </c>
      <c r="M129" s="1">
        <v>21982.160655853797</v>
      </c>
      <c r="N129" s="1">
        <v>22265.564409999999</v>
      </c>
      <c r="O129" s="1">
        <v>25524.337414670001</v>
      </c>
      <c r="P129" s="1">
        <v>31022.255691359998</v>
      </c>
      <c r="Q129" s="1">
        <v>27617.714380000001</v>
      </c>
      <c r="R129" s="1">
        <v>31191.00863</v>
      </c>
      <c r="S129" s="1">
        <v>33672.917679999999</v>
      </c>
      <c r="T129" s="1">
        <v>48957.197260000001</v>
      </c>
      <c r="U129" s="1">
        <v>49755.472710000002</v>
      </c>
      <c r="V129" s="1">
        <v>88668.715519999998</v>
      </c>
      <c r="W129" s="1">
        <v>99460.160239999997</v>
      </c>
      <c r="X129" s="1">
        <v>118935.14233</v>
      </c>
      <c r="Y129" s="1">
        <v>142914.13806999999</v>
      </c>
      <c r="Z129" s="1">
        <v>175184.63673999999</v>
      </c>
      <c r="AA129" s="1">
        <v>195564.53</v>
      </c>
      <c r="AB129" s="1">
        <v>227875.36</v>
      </c>
    </row>
    <row r="130" spans="1:29">
      <c r="A130" s="1">
        <f>VLOOKUP(B130,Legend!$C$32:$D$66,2,FALSE)</f>
        <v>73</v>
      </c>
      <c r="B130" s="1" t="s">
        <v>35</v>
      </c>
      <c r="C130" s="1" t="s">
        <v>88</v>
      </c>
      <c r="D130" s="1">
        <v>18598.902785389721</v>
      </c>
      <c r="E130" s="1">
        <v>27326.183691280439</v>
      </c>
      <c r="F130" s="1">
        <v>20779.449957764453</v>
      </c>
      <c r="G130" s="1">
        <v>20570.620415880607</v>
      </c>
      <c r="H130" s="1">
        <v>35392.784185762335</v>
      </c>
      <c r="I130" s="1">
        <v>41945.376558032636</v>
      </c>
      <c r="J130" s="1">
        <v>41769.146374844531</v>
      </c>
      <c r="K130" s="1">
        <v>56605.90454341127</v>
      </c>
      <c r="L130" s="1">
        <v>50197.346213093639</v>
      </c>
      <c r="M130" s="1">
        <v>44165.906024445074</v>
      </c>
      <c r="N130" s="1">
        <v>68478.676600000006</v>
      </c>
      <c r="O130" s="1">
        <v>63987.087599999999</v>
      </c>
      <c r="P130" s="1">
        <v>67749.277000000002</v>
      </c>
      <c r="Q130" s="1">
        <v>67960.831099999996</v>
      </c>
      <c r="R130" s="1">
        <v>69157.543900000004</v>
      </c>
      <c r="S130" s="1">
        <v>67652.461599999995</v>
      </c>
      <c r="T130" s="1">
        <v>43552.57</v>
      </c>
      <c r="U130" s="1">
        <v>35945.31</v>
      </c>
      <c r="V130" s="1">
        <v>35034.199999999997</v>
      </c>
      <c r="W130" s="1">
        <v>32698.71</v>
      </c>
      <c r="X130" s="1">
        <v>34641.279999999999</v>
      </c>
      <c r="Y130" s="1">
        <v>36410.480000000003</v>
      </c>
      <c r="Z130" s="1">
        <v>47790.25</v>
      </c>
      <c r="AA130" s="1">
        <v>44880.44</v>
      </c>
      <c r="AB130" s="1">
        <v>45665.1</v>
      </c>
    </row>
    <row r="131" spans="1:29">
      <c r="A131" s="1">
        <f>VLOOKUP(B131,Legend!$C$32:$D$66,2,FALSE)</f>
        <v>74</v>
      </c>
      <c r="B131" s="1" t="s">
        <v>37</v>
      </c>
      <c r="C131" s="1" t="s">
        <v>88</v>
      </c>
      <c r="D131" s="1">
        <v>4325.8315390599028</v>
      </c>
      <c r="E131" s="1">
        <v>4755.4372830670109</v>
      </c>
      <c r="F131" s="1">
        <v>5031.6757178766575</v>
      </c>
      <c r="G131" s="1">
        <v>5592.9992047673913</v>
      </c>
      <c r="H131" s="1">
        <v>7654.6611157658435</v>
      </c>
      <c r="I131" s="1">
        <v>9031.0362072610023</v>
      </c>
      <c r="J131" s="1">
        <v>12773.831564762395</v>
      </c>
      <c r="K131" s="1">
        <v>13510.287417461257</v>
      </c>
      <c r="L131" s="1">
        <v>14002.732984240853</v>
      </c>
      <c r="M131" s="1">
        <v>15283.532699118692</v>
      </c>
      <c r="N131" s="1">
        <v>17691.915290000001</v>
      </c>
      <c r="O131" s="1">
        <v>20898.175490000001</v>
      </c>
      <c r="P131" s="1">
        <v>22566.406579999999</v>
      </c>
      <c r="Q131" s="1">
        <v>21973.252629999999</v>
      </c>
      <c r="R131" s="1">
        <v>20173.435399999998</v>
      </c>
      <c r="S131" s="1">
        <v>11624.174000000001</v>
      </c>
      <c r="T131" s="1">
        <v>10962.080599999999</v>
      </c>
      <c r="U131" s="1">
        <v>14151.90904</v>
      </c>
      <c r="V131" s="1">
        <v>21334.315190000001</v>
      </c>
      <c r="W131" s="1">
        <v>28576.24034</v>
      </c>
      <c r="X131" s="1">
        <v>39638.024129999998</v>
      </c>
      <c r="Y131" s="1">
        <v>61716.377740000004</v>
      </c>
      <c r="Z131" s="1">
        <v>69916.187109999999</v>
      </c>
      <c r="AA131" s="1">
        <v>58526.407760000002</v>
      </c>
      <c r="AB131" s="1">
        <v>53037.113420000001</v>
      </c>
    </row>
    <row r="132" spans="1:29">
      <c r="A132" s="1">
        <f>VLOOKUP(B132,Legend!$C$32:$D$66,2,FALSE)</f>
        <v>75</v>
      </c>
      <c r="B132" s="1" t="s">
        <v>12</v>
      </c>
      <c r="C132" s="1" t="s">
        <v>88</v>
      </c>
      <c r="D132" s="1">
        <v>147.20435780701041</v>
      </c>
      <c r="E132" s="1">
        <v>190.95193280190796</v>
      </c>
      <c r="F132" s="1">
        <v>197.25507165395149</v>
      </c>
      <c r="G132" s="1">
        <v>1650.306723658591</v>
      </c>
      <c r="H132" s="1">
        <v>2024.6582441171226</v>
      </c>
      <c r="I132" s="1">
        <v>1231.9082054136791</v>
      </c>
      <c r="J132" s="1">
        <v>3159.6111885724968</v>
      </c>
      <c r="K132" s="1">
        <v>4016.9634717391568</v>
      </c>
      <c r="L132" s="1">
        <v>5155.1489785852</v>
      </c>
      <c r="M132" s="1">
        <v>6112.3627910331925</v>
      </c>
      <c r="N132" s="1">
        <v>6433.17</v>
      </c>
      <c r="O132" s="1">
        <v>7080.25</v>
      </c>
      <c r="P132" s="1">
        <v>8339.2800000000007</v>
      </c>
      <c r="Q132" s="1">
        <v>8283.9</v>
      </c>
      <c r="R132" s="1">
        <v>9047.0300000000007</v>
      </c>
      <c r="S132" s="1">
        <v>9341.1</v>
      </c>
      <c r="T132" s="1">
        <v>9101.9599999999991</v>
      </c>
      <c r="U132" s="1">
        <v>9309.59</v>
      </c>
      <c r="V132" s="1">
        <v>10071.25</v>
      </c>
      <c r="W132" s="1">
        <v>10180.629999999999</v>
      </c>
      <c r="X132" s="1">
        <v>9479.59</v>
      </c>
      <c r="Y132" s="1">
        <v>10215.75</v>
      </c>
      <c r="Z132" s="1">
        <v>10425.67</v>
      </c>
      <c r="AA132" s="1">
        <v>10702.43</v>
      </c>
      <c r="AB132" s="1">
        <v>11236.76</v>
      </c>
    </row>
    <row r="133" spans="1:29">
      <c r="A133" s="1">
        <f>VLOOKUP(B133,Legend!$C$32:$D$66,2,FALSE)</f>
        <v>76</v>
      </c>
      <c r="B133" s="1" t="s">
        <v>34</v>
      </c>
      <c r="C133" s="1" t="s">
        <v>88</v>
      </c>
      <c r="H133" s="1">
        <v>4882.5165283226179</v>
      </c>
      <c r="I133" s="1">
        <v>5038.014767388473</v>
      </c>
      <c r="J133" s="1">
        <v>5958.1759069337368</v>
      </c>
      <c r="K133" s="1">
        <v>7229.0442917374485</v>
      </c>
      <c r="L133" s="1">
        <v>8860.2676030596194</v>
      </c>
      <c r="M133" s="1">
        <v>9711.0374225635005</v>
      </c>
      <c r="N133" s="1">
        <v>10861.96075</v>
      </c>
      <c r="O133" s="1">
        <v>12134.38825</v>
      </c>
      <c r="P133" s="1">
        <v>12769.76505</v>
      </c>
      <c r="Q133" s="1">
        <v>12225.509700000001</v>
      </c>
      <c r="R133" s="1">
        <v>11947.35973</v>
      </c>
      <c r="S133" s="1">
        <v>12490.81538</v>
      </c>
      <c r="T133" s="1">
        <v>12811.53681</v>
      </c>
      <c r="U133" s="1">
        <v>12728.588</v>
      </c>
      <c r="V133" s="1">
        <v>13587.223239999999</v>
      </c>
      <c r="W133" s="1">
        <v>14055.158170000001</v>
      </c>
      <c r="X133" s="1">
        <v>12048.595649999999</v>
      </c>
      <c r="Y133" s="1">
        <v>12470.875099999999</v>
      </c>
      <c r="Z133" s="1">
        <v>12651.064200000001</v>
      </c>
      <c r="AA133" s="1">
        <v>12628.897779999999</v>
      </c>
      <c r="AB133" s="1">
        <v>12983</v>
      </c>
    </row>
    <row r="134" spans="1:29">
      <c r="A134" s="1">
        <f>VLOOKUP(B134,Legend!$C$32:$D$66,2,FALSE)</f>
        <v>81</v>
      </c>
      <c r="B134" s="1" t="s">
        <v>13</v>
      </c>
      <c r="C134" s="1" t="s">
        <v>88</v>
      </c>
      <c r="D134" s="1">
        <v>5399.0254940988934</v>
      </c>
      <c r="E134" s="1">
        <v>7338.4970778471861</v>
      </c>
      <c r="F134" s="1">
        <v>7625.2198842854368</v>
      </c>
      <c r="G134" s="1">
        <v>7686.7068465997518</v>
      </c>
      <c r="H134" s="1">
        <v>7607.511264130465</v>
      </c>
      <c r="I134" s="1">
        <v>7719.8265832204988</v>
      </c>
      <c r="J134" s="1">
        <v>8493.4769473876331</v>
      </c>
      <c r="K134" s="1">
        <v>9095.1021374989377</v>
      </c>
      <c r="L134" s="1">
        <v>9774.2965272809033</v>
      </c>
      <c r="M134" s="1">
        <v>10084.421303307465</v>
      </c>
      <c r="N134" s="1">
        <v>10770.818740000001</v>
      </c>
      <c r="O134" s="1">
        <v>11490.15824139</v>
      </c>
      <c r="P134" s="1">
        <v>13875.61598649</v>
      </c>
      <c r="Q134" s="1">
        <v>15114.766879999999</v>
      </c>
      <c r="R134" s="1">
        <v>14568.39162</v>
      </c>
      <c r="S134" s="1">
        <v>15441.893410000001</v>
      </c>
      <c r="T134" s="1">
        <v>16091.539489999999</v>
      </c>
      <c r="U134" s="1">
        <v>16103.902169999999</v>
      </c>
      <c r="V134" s="1">
        <v>15426.339620000001</v>
      </c>
      <c r="W134" s="1">
        <v>15567.85527</v>
      </c>
      <c r="X134" s="1">
        <v>11645.57087</v>
      </c>
      <c r="Y134" s="1">
        <v>12596.68694</v>
      </c>
      <c r="Z134" s="1">
        <v>12514.37379</v>
      </c>
      <c r="AA134" s="1">
        <v>11059.80636</v>
      </c>
      <c r="AB134" s="1">
        <v>5850.69</v>
      </c>
    </row>
    <row r="135" spans="1:29">
      <c r="A135" s="1">
        <f>VLOOKUP(B135,Legend!$C$32:$D$66,2,FALSE)</f>
        <v>82</v>
      </c>
      <c r="B135" s="1" t="s">
        <v>30</v>
      </c>
      <c r="C135" s="1" t="s">
        <v>88</v>
      </c>
      <c r="D135" s="1">
        <v>4717.0603789241241</v>
      </c>
      <c r="E135" s="1">
        <v>3657.9396097687727</v>
      </c>
      <c r="F135" s="1">
        <v>4021.1768418456695</v>
      </c>
      <c r="G135" s="1">
        <v>3845.0826610672079</v>
      </c>
      <c r="H135" s="1">
        <v>4592.4110719607079</v>
      </c>
      <c r="I135" s="1">
        <v>4945.9812995337934</v>
      </c>
      <c r="J135" s="1">
        <v>5432.2723896085781</v>
      </c>
      <c r="K135" s="1">
        <v>5881.4533116792336</v>
      </c>
      <c r="L135" s="1">
        <v>6413.8868830231859</v>
      </c>
      <c r="M135" s="1">
        <v>7107.0119101463188</v>
      </c>
      <c r="N135" s="1">
        <v>7977.2397099999998</v>
      </c>
      <c r="O135" s="1">
        <v>11621.14119</v>
      </c>
      <c r="P135" s="1">
        <v>12742.73475</v>
      </c>
      <c r="Q135" s="1">
        <v>13807.61915</v>
      </c>
      <c r="R135" s="1">
        <v>16283.860919999999</v>
      </c>
      <c r="S135" s="1">
        <v>21112.002809999998</v>
      </c>
      <c r="T135" s="1">
        <v>23917.597269999998</v>
      </c>
      <c r="U135" s="1">
        <v>25885.157930000001</v>
      </c>
      <c r="V135" s="1">
        <v>20049.7327</v>
      </c>
      <c r="W135" s="1">
        <v>26630.043850000002</v>
      </c>
      <c r="X135" s="1">
        <v>34159.4</v>
      </c>
      <c r="Y135" s="1">
        <v>67499.429999999993</v>
      </c>
      <c r="Z135" s="1">
        <v>113202.01502837788</v>
      </c>
      <c r="AA135" s="1">
        <v>128909.00587941785</v>
      </c>
      <c r="AB135" s="1">
        <v>141419.84303241421</v>
      </c>
      <c r="AC135" s="1">
        <v>185982.33159529651</v>
      </c>
    </row>
    <row r="136" spans="1:29">
      <c r="A136" s="1">
        <f>VLOOKUP(B136,Legend!$C$32:$D$66,2,FALSE)</f>
        <v>91</v>
      </c>
      <c r="B136" s="1" t="s">
        <v>33</v>
      </c>
      <c r="C136" s="1" t="s">
        <v>88</v>
      </c>
      <c r="F136" s="1">
        <v>18615.467442035297</v>
      </c>
      <c r="G136" s="1">
        <v>17216.663410537501</v>
      </c>
      <c r="H136" s="1">
        <v>16250.920008669671</v>
      </c>
      <c r="I136" s="1">
        <v>19517.32345603366</v>
      </c>
      <c r="J136" s="1">
        <v>23007.707179610094</v>
      </c>
      <c r="K136" s="1">
        <v>23344.924427137339</v>
      </c>
      <c r="L136" s="1">
        <v>22404.241659525964</v>
      </c>
      <c r="M136" s="1">
        <v>17084.985964652249</v>
      </c>
      <c r="N136" s="1">
        <v>17733.976309999998</v>
      </c>
      <c r="O136" s="1">
        <v>8823.6910805799998</v>
      </c>
      <c r="P136" s="1">
        <v>17904.817462949999</v>
      </c>
      <c r="Q136" s="1">
        <v>11284.07633</v>
      </c>
      <c r="R136" s="1">
        <v>14663.04074</v>
      </c>
      <c r="S136" s="1">
        <v>22093.10039</v>
      </c>
      <c r="T136" s="1">
        <v>21200.5658</v>
      </c>
      <c r="U136" s="1">
        <v>24686.93622</v>
      </c>
      <c r="V136" s="1">
        <v>26803.068350000001</v>
      </c>
      <c r="W136" s="1">
        <v>24952.184450000001</v>
      </c>
      <c r="X136" s="1">
        <v>21835.640670000001</v>
      </c>
      <c r="Y136" s="1">
        <v>16082.19292</v>
      </c>
      <c r="Z136" s="1">
        <v>28778.68</v>
      </c>
      <c r="AA136" s="1">
        <v>21434.2</v>
      </c>
      <c r="AB136" s="1">
        <v>19992.559999999998</v>
      </c>
      <c r="AC136" s="1">
        <v>122.51</v>
      </c>
    </row>
    <row r="137" spans="1:29">
      <c r="A137" s="1">
        <f>VLOOKUP(B137,Legend!$C$32:$D$66,2,FALSE)</f>
        <v>94</v>
      </c>
      <c r="B137" s="1" t="s">
        <v>14</v>
      </c>
      <c r="C137" s="1" t="s">
        <v>88</v>
      </c>
      <c r="D137" s="1">
        <v>6245.0231441532042</v>
      </c>
      <c r="E137" s="1">
        <v>5841.4013990568665</v>
      </c>
      <c r="F137" s="1">
        <v>5153.9289948586029</v>
      </c>
      <c r="G137" s="1">
        <v>5579.5809722056538</v>
      </c>
      <c r="H137" s="1">
        <v>5645.3897575885667</v>
      </c>
      <c r="I137" s="1">
        <v>6378.1171728950158</v>
      </c>
      <c r="J137" s="1">
        <v>7816.6250936302349</v>
      </c>
      <c r="K137" s="1">
        <v>7279.8954930003792</v>
      </c>
      <c r="L137" s="1">
        <v>8516.9271696421984</v>
      </c>
      <c r="M137" s="1">
        <v>8693.3121073108232</v>
      </c>
      <c r="N137" s="1">
        <v>9740.4853773899995</v>
      </c>
      <c r="O137" s="1">
        <v>10153.36048085</v>
      </c>
      <c r="P137" s="1">
        <v>9271.3615860499995</v>
      </c>
      <c r="Q137" s="1">
        <v>5451.8470792799999</v>
      </c>
      <c r="R137" s="1">
        <v>11190.90476291</v>
      </c>
      <c r="S137" s="1">
        <v>8896.5661500000006</v>
      </c>
      <c r="T137" s="1">
        <v>9309.0774399999991</v>
      </c>
      <c r="U137" s="1">
        <v>5955.4403700000003</v>
      </c>
      <c r="V137" s="1">
        <v>6446.7788899999996</v>
      </c>
      <c r="W137" s="1">
        <v>4474.0625300000002</v>
      </c>
      <c r="X137" s="1">
        <v>2793.7609000000002</v>
      </c>
      <c r="Y137" s="1">
        <v>4275.8621400000002</v>
      </c>
      <c r="Z137" s="1">
        <v>21854.390339999998</v>
      </c>
      <c r="AA137" s="1">
        <v>37006.199430000001</v>
      </c>
      <c r="AB137" s="1">
        <v>79783.389999999985</v>
      </c>
    </row>
    <row r="138" spans="1:29">
      <c r="A138" s="1">
        <f>VLOOKUP(B138,Legend!$C$32:$D$66,2,FALSE)</f>
        <v>11</v>
      </c>
      <c r="B138" s="1" t="s">
        <v>3</v>
      </c>
      <c r="C138" s="1" t="s">
        <v>103</v>
      </c>
      <c r="D138" s="1">
        <v>16716.0263204404</v>
      </c>
      <c r="E138" s="1">
        <v>21622.0387263749</v>
      </c>
      <c r="F138" s="1">
        <v>22800.601030078298</v>
      </c>
      <c r="G138" s="1">
        <v>23184.579965746401</v>
      </c>
      <c r="H138" s="1">
        <v>19058.364145399399</v>
      </c>
      <c r="I138" s="1">
        <v>14808.400473788901</v>
      </c>
      <c r="J138" s="1">
        <v>12855.960028232001</v>
      </c>
      <c r="K138" s="1">
        <v>11556.9792606264</v>
      </c>
      <c r="L138" s="1">
        <v>10595.482083565499</v>
      </c>
      <c r="M138" s="1">
        <v>9763.9788895223501</v>
      </c>
      <c r="N138" s="1">
        <v>8982.9478948300002</v>
      </c>
      <c r="O138" s="1">
        <v>9065.2928082199996</v>
      </c>
      <c r="P138" s="1">
        <v>9282.18365189</v>
      </c>
      <c r="Q138" s="1">
        <v>8838.3307369400009</v>
      </c>
      <c r="R138" s="1">
        <v>8164.79133078</v>
      </c>
      <c r="S138" s="1">
        <v>6474.7336861699996</v>
      </c>
      <c r="T138" s="1">
        <v>6096.6013449000002</v>
      </c>
      <c r="U138" s="1">
        <v>5921.4392112200003</v>
      </c>
      <c r="V138" s="1">
        <v>6410.2629468100004</v>
      </c>
      <c r="W138" s="1">
        <v>6339.5102857900001</v>
      </c>
      <c r="X138" s="1">
        <v>6058.6518190200004</v>
      </c>
      <c r="Y138" s="1">
        <v>6212.0881908800002</v>
      </c>
      <c r="Z138" s="1">
        <v>6472.3632161300002</v>
      </c>
      <c r="AA138" s="1">
        <v>6371.29</v>
      </c>
      <c r="AB138" s="1">
        <v>6559.19</v>
      </c>
      <c r="AC138" s="1">
        <v>6863.09</v>
      </c>
    </row>
    <row r="139" spans="1:29">
      <c r="A139" s="1">
        <f>VLOOKUP(B139,Legend!$C$32:$D$66,2,FALSE)</f>
        <v>12</v>
      </c>
      <c r="B139" s="1" t="s">
        <v>41</v>
      </c>
      <c r="C139" s="1" t="s">
        <v>103</v>
      </c>
      <c r="D139" s="1">
        <v>18948.826549711201</v>
      </c>
      <c r="E139" s="1">
        <v>21860.4938098971</v>
      </c>
      <c r="F139" s="1">
        <v>23792.5396760187</v>
      </c>
      <c r="G139" s="1">
        <v>29253.6542241114</v>
      </c>
      <c r="H139" s="1">
        <v>33524.309172599496</v>
      </c>
      <c r="I139" s="1">
        <v>39802.3843212707</v>
      </c>
      <c r="J139" s="1">
        <v>46113.310172822203</v>
      </c>
      <c r="K139" s="1">
        <v>50970.267300359999</v>
      </c>
      <c r="L139" s="1">
        <v>57809.600380180498</v>
      </c>
      <c r="M139" s="1">
        <v>61626.844406423697</v>
      </c>
      <c r="N139" s="1">
        <v>70540.953800000003</v>
      </c>
      <c r="O139" s="1">
        <v>79947.917239999995</v>
      </c>
      <c r="P139" s="1">
        <v>86171.929699999993</v>
      </c>
      <c r="Q139" s="1">
        <v>93241.472510000007</v>
      </c>
      <c r="R139" s="1">
        <v>104239.00380000001</v>
      </c>
      <c r="S139" s="1">
        <v>115720.0241</v>
      </c>
      <c r="T139" s="1">
        <v>125513.7509</v>
      </c>
      <c r="U139" s="1">
        <v>138815.92689999999</v>
      </c>
      <c r="V139" s="1">
        <v>148430.3125</v>
      </c>
      <c r="W139" s="1">
        <v>152246.63260000001</v>
      </c>
      <c r="X139" s="1">
        <v>156503.60949999999</v>
      </c>
      <c r="Y139" s="1">
        <v>167949.40530000001</v>
      </c>
      <c r="Z139" s="1">
        <v>182735.65660007001</v>
      </c>
      <c r="AA139" s="1">
        <v>195213.07</v>
      </c>
      <c r="AB139" s="1">
        <v>210618.68</v>
      </c>
      <c r="AC139" s="1">
        <v>227374.41</v>
      </c>
    </row>
    <row r="140" spans="1:29">
      <c r="A140" s="1">
        <f>VLOOKUP(B140,Legend!$C$32:$D$66,2,FALSE)</f>
        <v>13</v>
      </c>
      <c r="B140" s="1" t="s">
        <v>39</v>
      </c>
      <c r="C140" s="1" t="s">
        <v>103</v>
      </c>
      <c r="D140" s="1">
        <v>8252.8201680438306</v>
      </c>
      <c r="E140" s="1">
        <v>8509.6575045949594</v>
      </c>
      <c r="F140" s="1">
        <v>8729.3517015675006</v>
      </c>
      <c r="G140" s="1">
        <v>8903.4002364370099</v>
      </c>
      <c r="H140" s="1">
        <v>9306.6721476089297</v>
      </c>
      <c r="I140" s="1">
        <v>9765.2324688982699</v>
      </c>
      <c r="J140" s="1">
        <v>10202.0553747224</v>
      </c>
      <c r="K140" s="1">
        <v>10792.921113407299</v>
      </c>
      <c r="L140" s="1">
        <v>11563.368605073099</v>
      </c>
      <c r="M140" s="1">
        <v>11976.393627686401</v>
      </c>
      <c r="N140" s="1">
        <v>12277.027907420001</v>
      </c>
      <c r="O140" s="1">
        <v>12859.17984776</v>
      </c>
      <c r="P140" s="1">
        <v>13690.47402125</v>
      </c>
      <c r="Q140" s="1">
        <v>14388.52329848</v>
      </c>
      <c r="R140" s="1">
        <v>15140.071881330001</v>
      </c>
      <c r="S140" s="1">
        <v>15418.54017359</v>
      </c>
      <c r="T140" s="1">
        <v>16174.09684738</v>
      </c>
      <c r="U140" s="1">
        <v>16540.818123780002</v>
      </c>
      <c r="V140" s="1">
        <v>16444.83999932</v>
      </c>
      <c r="W140" s="1">
        <v>16118.64565794</v>
      </c>
      <c r="X140" s="1">
        <v>16031.823237889999</v>
      </c>
      <c r="Y140" s="1">
        <v>16628.369795719998</v>
      </c>
      <c r="Z140" s="1">
        <v>16918.566181760001</v>
      </c>
      <c r="AA140" s="1">
        <v>17440.38</v>
      </c>
      <c r="AB140" s="1">
        <v>17894.05</v>
      </c>
      <c r="AC140" s="1">
        <v>18856.05</v>
      </c>
    </row>
    <row r="141" spans="1:29">
      <c r="A141" s="1">
        <f>VLOOKUP(B141,Legend!$C$32:$D$66,2,FALSE)</f>
        <v>14</v>
      </c>
      <c r="B141" s="1" t="s">
        <v>4</v>
      </c>
      <c r="C141" s="1" t="s">
        <v>103</v>
      </c>
      <c r="D141" s="1">
        <v>173462.36312641099</v>
      </c>
      <c r="E141" s="1">
        <v>185044.19612470601</v>
      </c>
      <c r="F141" s="1">
        <v>196015.49489294199</v>
      </c>
      <c r="G141" s="1">
        <v>58055.552078185399</v>
      </c>
      <c r="H141" s="1">
        <v>63590.147835400901</v>
      </c>
      <c r="I141" s="1">
        <v>67151.052155808298</v>
      </c>
      <c r="J141" s="1">
        <v>71701.782669979293</v>
      </c>
      <c r="K141" s="1">
        <v>77889.377431424306</v>
      </c>
      <c r="L141" s="1">
        <v>83480.679773139593</v>
      </c>
      <c r="M141" s="1">
        <v>87669.310037271905</v>
      </c>
      <c r="N141" s="1">
        <v>93533.890236199994</v>
      </c>
      <c r="O141" s="1">
        <v>101453.20739347</v>
      </c>
      <c r="P141" s="1">
        <v>108380.60238521</v>
      </c>
      <c r="Q141" s="1">
        <v>115915.83835652001</v>
      </c>
      <c r="R141" s="1">
        <v>122442.81446089</v>
      </c>
      <c r="S141" s="1">
        <v>126882.60844118</v>
      </c>
      <c r="T141" s="1">
        <v>132525.10230607999</v>
      </c>
      <c r="U141" s="1">
        <v>139717.11193541001</v>
      </c>
      <c r="V141" s="1">
        <v>144727.80574700999</v>
      </c>
      <c r="W141" s="1">
        <v>153155.80669279001</v>
      </c>
      <c r="X141" s="1">
        <v>156073.85200153</v>
      </c>
      <c r="Y141" s="1">
        <v>162436.92228547999</v>
      </c>
      <c r="Z141" s="1">
        <v>170116.90227863999</v>
      </c>
      <c r="AA141" s="1">
        <v>176290.05</v>
      </c>
      <c r="AB141" s="1">
        <v>182856.23</v>
      </c>
      <c r="AC141" s="1">
        <v>194543.85</v>
      </c>
    </row>
    <row r="142" spans="1:29">
      <c r="A142" s="1">
        <f>VLOOKUP(B142,Legend!$C$32:$D$66,2,FALSE)</f>
        <v>15</v>
      </c>
      <c r="B142" s="1" t="s">
        <v>5</v>
      </c>
      <c r="C142" s="1" t="s">
        <v>103</v>
      </c>
      <c r="D142" s="1">
        <v>6864.9161535473704</v>
      </c>
      <c r="E142" s="1">
        <v>6767.7578824406701</v>
      </c>
      <c r="F142" s="1">
        <v>7450.7370225683599</v>
      </c>
      <c r="G142" s="1">
        <v>7626.4691239391996</v>
      </c>
      <c r="H142" s="1">
        <v>7897.3401330850602</v>
      </c>
      <c r="I142" s="1">
        <v>8205.3688930922508</v>
      </c>
      <c r="J142" s="1">
        <v>8569.9459019610695</v>
      </c>
      <c r="K142" s="1">
        <v>9036.6532745550194</v>
      </c>
      <c r="L142" s="1">
        <v>9545.8507536549296</v>
      </c>
      <c r="M142" s="1">
        <v>9912.7558665707493</v>
      </c>
      <c r="N142" s="1">
        <v>10357.580683190001</v>
      </c>
      <c r="O142" s="1">
        <v>11217.08612588</v>
      </c>
      <c r="P142" s="1">
        <v>12023.508822149999</v>
      </c>
      <c r="Q142" s="1">
        <v>13005.65026378</v>
      </c>
      <c r="R142" s="1">
        <v>13630.734898639999</v>
      </c>
      <c r="S142" s="1">
        <v>13948.630013460001</v>
      </c>
      <c r="T142" s="1">
        <v>14267.73687594</v>
      </c>
      <c r="U142" s="1">
        <v>14640.66749652</v>
      </c>
      <c r="V142" s="1">
        <v>15137.368644390001</v>
      </c>
      <c r="W142" s="1">
        <v>15495.294735879999</v>
      </c>
      <c r="X142" s="1">
        <v>15513.674761390001</v>
      </c>
      <c r="Y142" s="1">
        <v>15727.35241662</v>
      </c>
      <c r="Z142" s="1">
        <v>16213.29330761</v>
      </c>
      <c r="AA142" s="1">
        <v>16892.88</v>
      </c>
      <c r="AB142" s="1">
        <v>17691.810000000001</v>
      </c>
      <c r="AC142" s="1">
        <v>18594.59</v>
      </c>
    </row>
    <row r="143" spans="1:29">
      <c r="A143" s="1">
        <f>VLOOKUP(B143,Legend!$C$32:$D$66,2,FALSE)</f>
        <v>16</v>
      </c>
      <c r="B143" s="1" t="s">
        <v>40</v>
      </c>
      <c r="C143" s="1" t="s">
        <v>103</v>
      </c>
      <c r="D143" s="1">
        <v>24373.4342746734</v>
      </c>
      <c r="E143" s="1">
        <v>24794.191063731199</v>
      </c>
      <c r="F143" s="1">
        <v>25681.804286541101</v>
      </c>
      <c r="G143" s="1">
        <v>26849.128263090901</v>
      </c>
      <c r="H143" s="1">
        <v>28424.722327835902</v>
      </c>
      <c r="I143" s="1">
        <v>29773.8952108136</v>
      </c>
      <c r="J143" s="1">
        <v>31350.692780406702</v>
      </c>
      <c r="K143" s="1">
        <v>33136.291679889298</v>
      </c>
      <c r="L143" s="1">
        <v>34268.664658621703</v>
      </c>
      <c r="M143" s="1">
        <v>35000.659295556397</v>
      </c>
      <c r="N143" s="1">
        <v>36600.124000000003</v>
      </c>
      <c r="O143" s="1">
        <v>38750.665999999997</v>
      </c>
      <c r="P143" s="1">
        <v>41022.295469620003</v>
      </c>
      <c r="Q143" s="1">
        <v>42703.113648710001</v>
      </c>
      <c r="R143" s="1">
        <v>44653.618986369998</v>
      </c>
      <c r="S143" s="1">
        <v>47066.752443680001</v>
      </c>
      <c r="T143" s="1">
        <v>49998.12509044</v>
      </c>
      <c r="U143" s="1">
        <v>53270.826334370002</v>
      </c>
      <c r="V143" s="1">
        <v>56146.099992039999</v>
      </c>
      <c r="W143" s="1">
        <v>58852.893279789998</v>
      </c>
      <c r="X143" s="1">
        <v>59276.640841139997</v>
      </c>
      <c r="Y143" s="1">
        <v>60571.418031050001</v>
      </c>
      <c r="Z143" s="1">
        <v>63307.614761099998</v>
      </c>
      <c r="AA143" s="1">
        <v>65761.47</v>
      </c>
      <c r="AB143" s="1">
        <v>68741.77</v>
      </c>
      <c r="AC143" s="1">
        <v>71873.3</v>
      </c>
    </row>
    <row r="144" spans="1:29">
      <c r="A144" s="1">
        <f>VLOOKUP(B144,Legend!$C$32:$D$66,2,FALSE)</f>
        <v>17</v>
      </c>
      <c r="B144" s="1" t="s">
        <v>6</v>
      </c>
      <c r="C144" s="1" t="s">
        <v>103</v>
      </c>
      <c r="D144" s="1">
        <v>948.349864633273</v>
      </c>
      <c r="E144" s="1">
        <v>995.97329492369397</v>
      </c>
      <c r="F144" s="1">
        <v>1096.9860267701799</v>
      </c>
      <c r="G144" s="1">
        <v>1162.95780832013</v>
      </c>
      <c r="H144" s="1">
        <v>1229.9120097596699</v>
      </c>
      <c r="I144" s="1">
        <v>1251.0643223192301</v>
      </c>
      <c r="J144" s="1">
        <v>1318.34509006238</v>
      </c>
      <c r="K144" s="1">
        <v>1394.9090362358199</v>
      </c>
      <c r="L144" s="1">
        <v>1497.6092746644999</v>
      </c>
      <c r="M144" s="1">
        <v>1586.7044572785001</v>
      </c>
      <c r="N144" s="1">
        <v>1722.87710799</v>
      </c>
      <c r="O144" s="1">
        <v>1841.5347865000001</v>
      </c>
      <c r="P144" s="1">
        <v>1989.8886218099999</v>
      </c>
      <c r="Q144" s="1">
        <v>2137.7213400000001</v>
      </c>
      <c r="R144" s="1">
        <v>2274.24609358</v>
      </c>
      <c r="S144" s="1">
        <v>2381.1511629000001</v>
      </c>
      <c r="T144" s="1">
        <v>2517.7903689999998</v>
      </c>
      <c r="U144" s="1">
        <v>2625.19100187</v>
      </c>
      <c r="V144" s="1">
        <v>2718.54986263</v>
      </c>
      <c r="W144" s="1">
        <v>2781.3171828999998</v>
      </c>
      <c r="X144" s="1">
        <v>2713.4425054100002</v>
      </c>
      <c r="Y144" s="1">
        <v>2777.6255725800002</v>
      </c>
      <c r="Z144" s="1">
        <v>2863.1505775099999</v>
      </c>
      <c r="AA144" s="1">
        <v>2915.7</v>
      </c>
      <c r="AB144" s="1">
        <v>2959</v>
      </c>
      <c r="AC144" s="1">
        <v>3237.55</v>
      </c>
    </row>
    <row r="145" spans="1:29">
      <c r="A145" s="1">
        <f>VLOOKUP(B145,Legend!$C$32:$D$66,2,FALSE)</f>
        <v>18</v>
      </c>
      <c r="B145" s="1" t="s">
        <v>7</v>
      </c>
      <c r="C145" s="1" t="s">
        <v>103</v>
      </c>
      <c r="D145" s="1">
        <v>15403.4012335199</v>
      </c>
      <c r="E145" s="1">
        <v>16377.7650368718</v>
      </c>
      <c r="F145" s="1">
        <v>17145.979897725501</v>
      </c>
      <c r="G145" s="1">
        <v>17844.597700822898</v>
      </c>
      <c r="H145" s="1">
        <v>18678.933262880601</v>
      </c>
      <c r="I145" s="1">
        <v>19454.108978305801</v>
      </c>
      <c r="J145" s="1">
        <v>20329.543316172902</v>
      </c>
      <c r="K145" s="1">
        <v>21616.840170331401</v>
      </c>
      <c r="L145" s="1">
        <v>23018.2185146673</v>
      </c>
      <c r="M145" s="1">
        <v>24371.460099108699</v>
      </c>
      <c r="N145" s="1">
        <v>25860.87858425</v>
      </c>
      <c r="O145" s="1">
        <v>27146.426778050001</v>
      </c>
      <c r="P145" s="1">
        <v>29677.128611029999</v>
      </c>
      <c r="Q145" s="1">
        <v>31973.9347719</v>
      </c>
      <c r="R145" s="1">
        <v>33388.067697999999</v>
      </c>
      <c r="S145" s="1">
        <v>35913.820522839997</v>
      </c>
      <c r="T145" s="1">
        <v>37326.314759009998</v>
      </c>
      <c r="U145" s="1">
        <v>39633.960824410002</v>
      </c>
      <c r="V145" s="1">
        <v>43218.1385801</v>
      </c>
      <c r="W145" s="1">
        <v>46778.086935450003</v>
      </c>
      <c r="X145" s="1">
        <v>44336.2771861</v>
      </c>
      <c r="Y145" s="1">
        <v>46415.318207700002</v>
      </c>
      <c r="Z145" s="1">
        <v>46589.526963709999</v>
      </c>
      <c r="AA145" s="1">
        <v>47257.57</v>
      </c>
      <c r="AB145" s="1">
        <v>51493.88</v>
      </c>
      <c r="AC145" s="1">
        <v>54750.3</v>
      </c>
    </row>
    <row r="146" spans="1:29">
      <c r="A146" s="1">
        <f>VLOOKUP(B146,Legend!$C$32:$D$66,2,FALSE)</f>
        <v>19</v>
      </c>
      <c r="B146" s="1" t="s">
        <v>28</v>
      </c>
      <c r="C146" s="1" t="s">
        <v>103</v>
      </c>
      <c r="D146" s="1">
        <v>6059.8009505729997</v>
      </c>
      <c r="E146" s="1">
        <v>6303.6399351078198</v>
      </c>
      <c r="F146" s="1">
        <v>6604.2932444963899</v>
      </c>
      <c r="G146" s="1">
        <v>6780.4286772303703</v>
      </c>
      <c r="H146" s="1">
        <v>7152.7130313136604</v>
      </c>
      <c r="I146" s="1">
        <v>7585.9527966782698</v>
      </c>
      <c r="J146" s="1">
        <v>7919.9891347456596</v>
      </c>
      <c r="K146" s="1">
        <v>8363.9902780701796</v>
      </c>
      <c r="L146" s="1">
        <v>8604.1168522568605</v>
      </c>
      <c r="M146" s="1">
        <v>8845.5479896941906</v>
      </c>
      <c r="N146" s="1">
        <v>9174.6677861999997</v>
      </c>
      <c r="O146" s="1">
        <v>9515.7573144300004</v>
      </c>
      <c r="P146" s="1">
        <v>9804.8777906600008</v>
      </c>
      <c r="Q146" s="1">
        <v>10143.283583930001</v>
      </c>
      <c r="R146" s="1">
        <v>10270.40522821</v>
      </c>
      <c r="S146" s="1">
        <v>10400.63960986</v>
      </c>
      <c r="T146" s="1">
        <v>10680.47308982</v>
      </c>
      <c r="U146" s="1">
        <v>11337.679962149999</v>
      </c>
      <c r="V146" s="1">
        <v>11787.736601029999</v>
      </c>
      <c r="W146" s="1">
        <v>11928.979007399999</v>
      </c>
      <c r="X146" s="1">
        <v>11259.123379070001</v>
      </c>
      <c r="Y146" s="1">
        <v>11873.923271240001</v>
      </c>
      <c r="Z146" s="1">
        <v>12484.719308469999</v>
      </c>
      <c r="AA146" s="1">
        <v>12724</v>
      </c>
      <c r="AB146" s="1">
        <v>12223.71</v>
      </c>
      <c r="AC146" s="1">
        <v>12752.62</v>
      </c>
    </row>
    <row r="147" spans="1:29">
      <c r="A147" s="1">
        <f>VLOOKUP(B147,Legend!$C$32:$D$66,2,FALSE)</f>
        <v>21</v>
      </c>
      <c r="B147" s="1" t="s">
        <v>29</v>
      </c>
      <c r="C147" s="1" t="s">
        <v>103</v>
      </c>
      <c r="G147" s="1">
        <v>28106.499560561399</v>
      </c>
      <c r="H147" s="1">
        <v>30313.858181380499</v>
      </c>
      <c r="I147" s="1">
        <v>32576.915617985698</v>
      </c>
      <c r="J147" s="1">
        <v>34800.725195281499</v>
      </c>
      <c r="K147" s="1">
        <v>36832.713224774998</v>
      </c>
      <c r="L147" s="1">
        <v>38499.924293399701</v>
      </c>
      <c r="M147" s="1">
        <v>39423.081364561898</v>
      </c>
      <c r="N147" s="1">
        <v>42191.387317230001</v>
      </c>
      <c r="O147" s="1">
        <v>45483.541954660002</v>
      </c>
      <c r="P147" s="1">
        <v>49155.550975389997</v>
      </c>
      <c r="Q147" s="1">
        <v>53173.702645309997</v>
      </c>
      <c r="R147" s="1">
        <v>56338.040857940003</v>
      </c>
      <c r="S147" s="1">
        <v>59498.187444410003</v>
      </c>
      <c r="T147" s="1">
        <v>61497.861059989998</v>
      </c>
      <c r="U147" s="1">
        <v>62436.275204279998</v>
      </c>
      <c r="V147" s="1">
        <v>65018.044519290001</v>
      </c>
      <c r="W147" s="1">
        <v>69079.808124110001</v>
      </c>
      <c r="X147" s="1">
        <v>71325.791901570003</v>
      </c>
      <c r="Y147" s="1">
        <v>75925.345988989997</v>
      </c>
      <c r="Z147" s="1">
        <v>79348.156215609997</v>
      </c>
      <c r="AA147" s="1">
        <v>81302.960000000006</v>
      </c>
      <c r="AB147" s="1">
        <v>87616.7</v>
      </c>
      <c r="AC147" s="1">
        <v>94202.86</v>
      </c>
    </row>
    <row r="148" spans="1:29">
      <c r="A148" s="1">
        <f>VLOOKUP(B148,Legend!$C$32:$D$66,2,FALSE)</f>
        <v>31</v>
      </c>
      <c r="B148" s="1" t="s">
        <v>8</v>
      </c>
      <c r="C148" s="1" t="s">
        <v>103</v>
      </c>
      <c r="D148" s="1">
        <v>101712.600640178</v>
      </c>
      <c r="E148" s="1">
        <v>105685.517031027</v>
      </c>
      <c r="F148" s="1">
        <v>110531.953105395</v>
      </c>
      <c r="G148" s="1">
        <v>116117.784838493</v>
      </c>
      <c r="H148" s="1">
        <v>122782.18925993799</v>
      </c>
      <c r="I148" s="1">
        <v>129010.594046684</v>
      </c>
      <c r="J148" s="1">
        <v>135423.38722376601</v>
      </c>
      <c r="K148" s="1">
        <v>141658.51920145299</v>
      </c>
      <c r="L148" s="1">
        <v>147134.145085444</v>
      </c>
      <c r="M148" s="1">
        <v>147336.66465497899</v>
      </c>
      <c r="N148" s="1">
        <v>152651.31044323</v>
      </c>
      <c r="O148" s="1">
        <v>156240.34515804</v>
      </c>
      <c r="P148" s="1">
        <v>160011.69597549</v>
      </c>
      <c r="Q148" s="1">
        <v>168558.60819952999</v>
      </c>
      <c r="R148" s="1">
        <v>177774.89043964999</v>
      </c>
      <c r="S148" s="1">
        <v>186802.72283006</v>
      </c>
      <c r="T148" s="1">
        <v>193625.44061975999</v>
      </c>
      <c r="U148" s="1">
        <v>207917.77907531001</v>
      </c>
      <c r="V148" s="1">
        <v>219717.89264167001</v>
      </c>
      <c r="W148" s="1">
        <v>217039.97493436001</v>
      </c>
      <c r="X148" s="1">
        <v>194551.94054556001</v>
      </c>
      <c r="Y148" s="1">
        <v>216044.58945835999</v>
      </c>
      <c r="Z148" s="1">
        <v>228741.59052319999</v>
      </c>
      <c r="AA148" s="1">
        <v>232990.98</v>
      </c>
      <c r="AB148" s="1">
        <v>235645.99</v>
      </c>
      <c r="AC148" s="1">
        <v>239531.41</v>
      </c>
    </row>
    <row r="149" spans="1:29">
      <c r="A149" s="1">
        <f>VLOOKUP(B149,Legend!$C$32:$D$66,2,FALSE)</f>
        <v>32</v>
      </c>
      <c r="B149" s="1" t="s">
        <v>21</v>
      </c>
      <c r="C149" s="1" t="s">
        <v>103</v>
      </c>
      <c r="D149" s="1">
        <v>237955.22897238599</v>
      </c>
      <c r="E149" s="1">
        <v>254813.607259671</v>
      </c>
      <c r="F149" s="1">
        <v>268972.794323968</v>
      </c>
      <c r="G149" s="1">
        <v>279589.51774184802</v>
      </c>
      <c r="H149" s="1">
        <v>288637.28968257399</v>
      </c>
      <c r="I149" s="1">
        <v>313506.19527157699</v>
      </c>
      <c r="J149" s="1">
        <v>340190.490370863</v>
      </c>
      <c r="K149" s="1">
        <v>365200.49906864797</v>
      </c>
      <c r="L149" s="1">
        <v>398100.225801553</v>
      </c>
      <c r="M149" s="1">
        <v>391184.21181378601</v>
      </c>
      <c r="N149" s="1">
        <v>403571.24662291998</v>
      </c>
      <c r="O149" s="1">
        <v>426184.94750983</v>
      </c>
      <c r="P149" s="1">
        <v>445675.27656167001</v>
      </c>
      <c r="Q149" s="1">
        <v>477714.07227782998</v>
      </c>
      <c r="R149" s="1">
        <v>502433.62307273003</v>
      </c>
      <c r="S149" s="1">
        <v>524466.67704234004</v>
      </c>
      <c r="T149" s="1">
        <v>549471.38377583004</v>
      </c>
      <c r="U149" s="1">
        <v>578703.23692416004</v>
      </c>
      <c r="V149" s="1">
        <v>616427.06999025005</v>
      </c>
      <c r="W149" s="1">
        <v>640760.95762442995</v>
      </c>
      <c r="X149" s="1">
        <v>612799.43347758998</v>
      </c>
      <c r="Y149" s="1">
        <v>638689.31513434998</v>
      </c>
      <c r="Z149" s="1">
        <v>683420.24742014997</v>
      </c>
      <c r="AA149" s="1">
        <v>715811.27</v>
      </c>
      <c r="AB149" s="1">
        <v>741041.46</v>
      </c>
      <c r="AC149" s="1">
        <v>762103.15</v>
      </c>
    </row>
    <row r="150" spans="1:29">
      <c r="A150" s="1">
        <f>VLOOKUP(B150,Legend!$C$32:$D$66,2,FALSE)</f>
        <v>33</v>
      </c>
      <c r="B150" s="1" t="s">
        <v>22</v>
      </c>
      <c r="C150" s="1" t="s">
        <v>103</v>
      </c>
      <c r="D150" s="1">
        <v>125083.29343749399</v>
      </c>
      <c r="E150" s="1">
        <v>130257.602731409</v>
      </c>
      <c r="F150" s="1">
        <v>137369.34033219199</v>
      </c>
      <c r="G150" s="1">
        <v>144917.183680127</v>
      </c>
      <c r="H150" s="1">
        <v>154199.666719256</v>
      </c>
      <c r="I150" s="1">
        <v>161595.31106672701</v>
      </c>
      <c r="J150" s="1">
        <v>168897.49285937499</v>
      </c>
      <c r="K150" s="1">
        <v>184641.06125555999</v>
      </c>
      <c r="L150" s="1">
        <v>193991.88406178</v>
      </c>
      <c r="M150" s="1">
        <v>201335.40330286001</v>
      </c>
      <c r="N150" s="1">
        <v>215156.47455454999</v>
      </c>
      <c r="O150" s="1">
        <v>226325.6168132</v>
      </c>
      <c r="P150" s="1">
        <v>241528.85593163999</v>
      </c>
      <c r="Q150" s="1">
        <v>254694.11895</v>
      </c>
      <c r="R150" s="1">
        <v>271526.77318000002</v>
      </c>
      <c r="S150" s="1">
        <v>284306.59245</v>
      </c>
      <c r="T150" s="1">
        <v>295960.83646000002</v>
      </c>
      <c r="U150" s="1">
        <v>308770.2219</v>
      </c>
      <c r="V150" s="1">
        <v>322143.28727999999</v>
      </c>
      <c r="W150" s="1">
        <v>338470.98320000002</v>
      </c>
      <c r="X150" s="1">
        <v>325617.66571999999</v>
      </c>
      <c r="Y150" s="1">
        <v>333239.62896</v>
      </c>
      <c r="Z150" s="1">
        <v>346169.65253999998</v>
      </c>
      <c r="AA150" s="1">
        <v>361111.03</v>
      </c>
      <c r="AB150" s="1">
        <v>373837.73</v>
      </c>
      <c r="AC150" s="1">
        <v>389026.51</v>
      </c>
    </row>
    <row r="151" spans="1:29">
      <c r="A151" s="1">
        <f>VLOOKUP(B151,Legend!$C$32:$D$66,2,FALSE)</f>
        <v>34</v>
      </c>
      <c r="B151" s="1" t="s">
        <v>9</v>
      </c>
      <c r="C151" s="1" t="s">
        <v>103</v>
      </c>
      <c r="D151" s="1">
        <v>7148.2600014527297</v>
      </c>
      <c r="E151" s="1">
        <v>7257.0560113621004</v>
      </c>
      <c r="F151" s="1">
        <v>7461.5416119295296</v>
      </c>
      <c r="G151" s="1">
        <v>7670.5215167976603</v>
      </c>
      <c r="H151" s="1">
        <v>7919.7124148414396</v>
      </c>
      <c r="I151" s="1">
        <v>8125.73928732268</v>
      </c>
      <c r="J151" s="1">
        <v>8184.9090268420796</v>
      </c>
      <c r="K151" s="1">
        <v>8339.4682507075504</v>
      </c>
      <c r="L151" s="1">
        <v>8453.3719398097692</v>
      </c>
      <c r="M151" s="1">
        <v>8612.4107552651494</v>
      </c>
      <c r="N151" s="1">
        <v>9215.5000473799992</v>
      </c>
      <c r="O151" s="1">
        <v>9711.7917078400005</v>
      </c>
      <c r="P151" s="1">
        <v>9435.8880499099996</v>
      </c>
      <c r="Q151" s="1">
        <v>10084.21325864</v>
      </c>
      <c r="R151" s="1">
        <v>10469.74861144</v>
      </c>
      <c r="S151" s="1">
        <v>10693.035740900001</v>
      </c>
      <c r="T151" s="1">
        <v>11234.472642029999</v>
      </c>
      <c r="U151" s="1">
        <v>11878.96242636</v>
      </c>
      <c r="V151" s="1">
        <v>12486.85537997</v>
      </c>
      <c r="W151" s="1">
        <v>13200.727122390001</v>
      </c>
      <c r="X151" s="1">
        <v>12632.114360449999</v>
      </c>
      <c r="Y151" s="1">
        <v>12670.456670240001</v>
      </c>
      <c r="Z151" s="1">
        <v>12890.38982303</v>
      </c>
      <c r="AA151" s="1">
        <v>13441.25</v>
      </c>
      <c r="AB151" s="1">
        <v>13950.28</v>
      </c>
      <c r="AC151" s="1">
        <v>14559.81</v>
      </c>
    </row>
    <row r="152" spans="1:29">
      <c r="A152" s="1">
        <f>VLOOKUP(B152,Legend!$C$32:$D$66,2,FALSE)</f>
        <v>35</v>
      </c>
      <c r="B152" s="1" t="s">
        <v>23</v>
      </c>
      <c r="C152" s="1" t="s">
        <v>103</v>
      </c>
      <c r="D152" s="1">
        <v>203552.897548493</v>
      </c>
      <c r="E152" s="1">
        <v>208331.15947082001</v>
      </c>
      <c r="F152" s="1">
        <v>206803.532237045</v>
      </c>
      <c r="G152" s="1">
        <v>216021.658140769</v>
      </c>
      <c r="H152" s="1">
        <v>227429.46364831799</v>
      </c>
      <c r="I152" s="1">
        <v>237923.198067049</v>
      </c>
      <c r="J152" s="1">
        <v>249655.44814086499</v>
      </c>
      <c r="K152" s="1">
        <v>261553.18223029401</v>
      </c>
      <c r="L152" s="1">
        <v>272946.87965690001</v>
      </c>
      <c r="M152" s="1">
        <v>280579.50352617202</v>
      </c>
      <c r="N152" s="1">
        <v>292708.38728923001</v>
      </c>
      <c r="O152" s="1">
        <v>306072.35816599999</v>
      </c>
      <c r="P152" s="1">
        <v>326681.76644462999</v>
      </c>
      <c r="Q152" s="1">
        <v>345794.55625492998</v>
      </c>
      <c r="R152" s="1">
        <v>372316.28716255003</v>
      </c>
      <c r="S152" s="1">
        <v>393272.9535</v>
      </c>
      <c r="T152" s="1">
        <v>410741.31390000001</v>
      </c>
      <c r="U152" s="1">
        <v>434114.16019999998</v>
      </c>
      <c r="V152" s="1">
        <v>466908.03707109002</v>
      </c>
      <c r="W152" s="1">
        <v>498740.30100852001</v>
      </c>
      <c r="X152" s="1">
        <v>488376.55735641997</v>
      </c>
      <c r="Y152" s="1">
        <v>504889.13293303002</v>
      </c>
      <c r="Z152" s="1">
        <v>536394.0331911</v>
      </c>
      <c r="AA152" s="1">
        <v>558448.65</v>
      </c>
      <c r="AB152" s="1">
        <v>588598.81999999995</v>
      </c>
      <c r="AC152" s="1">
        <v>623803.36</v>
      </c>
    </row>
    <row r="153" spans="1:29">
      <c r="A153" s="1">
        <f>VLOOKUP(B153,Legend!$C$32:$D$66,2,FALSE)</f>
        <v>36</v>
      </c>
      <c r="B153" s="1" t="s">
        <v>10</v>
      </c>
      <c r="C153" s="1" t="s">
        <v>103</v>
      </c>
      <c r="D153" s="1">
        <v>57254.4228881456</v>
      </c>
      <c r="E153" s="1">
        <v>60080.8839278468</v>
      </c>
      <c r="F153" s="1">
        <v>61704.152661783199</v>
      </c>
      <c r="G153" s="1">
        <v>63805.978396668601</v>
      </c>
      <c r="H153" s="1">
        <v>66609.927612621803</v>
      </c>
      <c r="I153" s="1">
        <v>69553.744980512303</v>
      </c>
      <c r="J153" s="1">
        <v>73329.674895626798</v>
      </c>
      <c r="K153" s="1">
        <v>98929.189663279307</v>
      </c>
      <c r="L153" s="1">
        <v>102004.90957534</v>
      </c>
      <c r="M153" s="1">
        <v>104256.080644107</v>
      </c>
      <c r="N153" s="1">
        <v>107806.55578159</v>
      </c>
      <c r="O153" s="1">
        <v>113462.34564237</v>
      </c>
      <c r="P153" s="1">
        <v>118846.20026884</v>
      </c>
      <c r="Q153" s="1">
        <v>128133.43125114001</v>
      </c>
      <c r="R153" s="1">
        <v>130305.90284171001</v>
      </c>
      <c r="S153" s="1">
        <v>134907.46896016001</v>
      </c>
      <c r="T153" s="1">
        <v>139073.54034807</v>
      </c>
      <c r="U153" s="1">
        <v>144219.14632520999</v>
      </c>
      <c r="V153" s="1">
        <v>149425.0582157</v>
      </c>
      <c r="W153" s="1">
        <v>154760.71533934001</v>
      </c>
      <c r="X153" s="1">
        <v>147538.55817361001</v>
      </c>
      <c r="Y153" s="1">
        <v>155028.02232039999</v>
      </c>
      <c r="Z153" s="1">
        <v>160639.45952926</v>
      </c>
      <c r="AA153" s="1">
        <v>169934.38</v>
      </c>
      <c r="AB153" s="1">
        <v>178397.54</v>
      </c>
      <c r="AC153" s="1">
        <v>187979.82</v>
      </c>
    </row>
    <row r="154" spans="1:29">
      <c r="A154" s="1">
        <f>VLOOKUP(B154,Legend!$C$32:$D$66,2,FALSE)</f>
        <v>51</v>
      </c>
      <c r="B154" s="1" t="s">
        <v>11</v>
      </c>
      <c r="C154" s="1" t="s">
        <v>103</v>
      </c>
      <c r="D154" s="1">
        <v>3561.77065507424</v>
      </c>
      <c r="E154" s="1">
        <v>3746.50673541284</v>
      </c>
      <c r="F154" s="1">
        <v>3933.8769999982201</v>
      </c>
      <c r="G154" s="1">
        <v>4121.5306392543098</v>
      </c>
      <c r="H154" s="1">
        <v>4274.3448166087001</v>
      </c>
      <c r="I154" s="1">
        <v>4492.7612024548198</v>
      </c>
      <c r="J154" s="1">
        <v>4688.6225155968204</v>
      </c>
      <c r="K154" s="1">
        <v>5479.4022730331899</v>
      </c>
      <c r="L154" s="1">
        <v>5868.0064592938897</v>
      </c>
      <c r="M154" s="1">
        <v>6186.7052544538101</v>
      </c>
      <c r="N154" s="1">
        <v>6562.9388009300001</v>
      </c>
      <c r="O154" s="1">
        <v>6620.8750493899997</v>
      </c>
      <c r="P154" s="1">
        <v>6966.9058068000004</v>
      </c>
      <c r="Q154" s="1">
        <v>7565.2478620000002</v>
      </c>
      <c r="R154" s="1">
        <v>8237.3907391499997</v>
      </c>
      <c r="S154" s="1">
        <v>8808.5075902099998</v>
      </c>
      <c r="T154" s="1">
        <v>9104.6761954899994</v>
      </c>
      <c r="U154" s="1">
        <v>9177.6974195900002</v>
      </c>
      <c r="V154" s="1">
        <v>9700.3222839200007</v>
      </c>
      <c r="W154" s="1">
        <v>10359.040020869999</v>
      </c>
      <c r="X154" s="1">
        <v>9694.7824200499999</v>
      </c>
      <c r="Y154" s="1">
        <v>9701.4521584600006</v>
      </c>
      <c r="Z154" s="1">
        <v>10240.402057740001</v>
      </c>
      <c r="AA154" s="1">
        <v>10478.81</v>
      </c>
      <c r="AB154" s="1">
        <v>11022.25</v>
      </c>
      <c r="AC154" s="1">
        <v>11456.66</v>
      </c>
    </row>
    <row r="155" spans="1:29">
      <c r="A155" s="1">
        <f>VLOOKUP(B155,Legend!$C$32:$D$66,2,FALSE)</f>
        <v>52</v>
      </c>
      <c r="B155" s="1" t="s">
        <v>31</v>
      </c>
      <c r="C155" s="1" t="s">
        <v>103</v>
      </c>
      <c r="D155" s="1">
        <v>1702.87181392913</v>
      </c>
      <c r="E155" s="1">
        <v>1799.4246405931499</v>
      </c>
      <c r="F155" s="1">
        <v>1905.2308106162</v>
      </c>
      <c r="G155" s="1">
        <v>2028.8802974750599</v>
      </c>
      <c r="H155" s="1">
        <v>2157.7203782218799</v>
      </c>
      <c r="I155" s="1">
        <v>2315.0955994156898</v>
      </c>
      <c r="J155" s="1">
        <v>2380.45324313533</v>
      </c>
      <c r="K155" s="1">
        <v>2617.48407127686</v>
      </c>
      <c r="L155" s="1">
        <v>2845.9829439423402</v>
      </c>
      <c r="M155" s="1">
        <v>3094.2733198004698</v>
      </c>
      <c r="N155" s="1">
        <v>3210.9340162899998</v>
      </c>
      <c r="O155" s="1">
        <v>3277.0412028300002</v>
      </c>
      <c r="P155" s="1">
        <v>3414.8734751799998</v>
      </c>
      <c r="Q155" s="1">
        <v>3539.5368297499999</v>
      </c>
      <c r="R155" s="1">
        <v>3658.6620590100001</v>
      </c>
      <c r="S155" s="1">
        <v>3772.63161709</v>
      </c>
      <c r="T155" s="1">
        <v>3976.9736462999999</v>
      </c>
      <c r="U155" s="1">
        <v>4213.7494022800001</v>
      </c>
      <c r="V155" s="1">
        <v>4284.3403431200004</v>
      </c>
      <c r="W155" s="1">
        <v>4458.90765147</v>
      </c>
      <c r="X155" s="1">
        <v>4351.5616378699997</v>
      </c>
      <c r="Y155" s="1">
        <v>4442.8586251300003</v>
      </c>
      <c r="Z155" s="1">
        <v>4530.8390011499996</v>
      </c>
      <c r="AA155" s="1">
        <v>4644.5200000000004</v>
      </c>
      <c r="AB155" s="1">
        <v>4839.22</v>
      </c>
      <c r="AC155" s="1">
        <v>8534.85</v>
      </c>
    </row>
    <row r="156" spans="1:29">
      <c r="A156" s="1">
        <f>VLOOKUP(B156,Legend!$C$32:$D$66,2,FALSE)</f>
        <v>53</v>
      </c>
      <c r="B156" s="1" t="s">
        <v>32</v>
      </c>
      <c r="C156" s="1" t="s">
        <v>103</v>
      </c>
      <c r="D156" s="1">
        <v>393.989711782727</v>
      </c>
      <c r="E156" s="1">
        <v>408.87630971968002</v>
      </c>
      <c r="F156" s="1">
        <v>427.970810241187</v>
      </c>
      <c r="G156" s="1">
        <v>447.87728382474597</v>
      </c>
      <c r="H156" s="1">
        <v>468.58731891651399</v>
      </c>
      <c r="I156" s="1">
        <v>483.07219683260303</v>
      </c>
      <c r="J156" s="1">
        <v>504.389564331754</v>
      </c>
      <c r="K156" s="1">
        <v>522.23503200855998</v>
      </c>
      <c r="L156" s="1">
        <v>522.44967542797701</v>
      </c>
      <c r="M156" s="1">
        <v>542.97963439602495</v>
      </c>
      <c r="N156" s="1">
        <v>555.17918481000004</v>
      </c>
      <c r="O156" s="1">
        <v>587.14664848999996</v>
      </c>
      <c r="P156" s="1">
        <v>622.39240021000001</v>
      </c>
      <c r="Q156" s="1">
        <v>652.63165824999999</v>
      </c>
      <c r="R156" s="1">
        <v>674.62077638999995</v>
      </c>
      <c r="S156" s="1">
        <v>709.88955725000005</v>
      </c>
      <c r="T156" s="1">
        <v>745.23241541000004</v>
      </c>
      <c r="U156" s="1">
        <v>799.91953472</v>
      </c>
      <c r="V156" s="1">
        <v>841.21388944</v>
      </c>
      <c r="W156" s="1">
        <v>916.99833276000004</v>
      </c>
      <c r="X156" s="1">
        <v>867.29821457000003</v>
      </c>
      <c r="Y156" s="1">
        <v>823.08478052999999</v>
      </c>
      <c r="Z156" s="1">
        <v>877.99233765999998</v>
      </c>
      <c r="AA156" s="1">
        <v>944.42</v>
      </c>
      <c r="AB156" s="1">
        <v>1005.91</v>
      </c>
      <c r="AC156" s="1">
        <v>1114.02</v>
      </c>
    </row>
    <row r="157" spans="1:29">
      <c r="A157" s="1">
        <f>VLOOKUP(B157,Legend!$C$32:$D$66,2,FALSE)</f>
        <v>61</v>
      </c>
      <c r="B157" s="1" t="s">
        <v>24</v>
      </c>
      <c r="C157" s="1" t="s">
        <v>103</v>
      </c>
      <c r="D157" s="1">
        <v>13494.2584443047</v>
      </c>
      <c r="E157" s="1">
        <v>13080.236429197101</v>
      </c>
      <c r="F157" s="1">
        <v>13065.658651433399</v>
      </c>
      <c r="G157" s="1">
        <v>12814.6567679581</v>
      </c>
      <c r="H157" s="1">
        <v>13076.4448960523</v>
      </c>
      <c r="I157" s="1">
        <v>13231.5012663247</v>
      </c>
      <c r="J157" s="1">
        <v>13618.360235480301</v>
      </c>
      <c r="K157" s="1">
        <v>14014.481682597399</v>
      </c>
      <c r="L157" s="1">
        <v>14309.9147969368</v>
      </c>
      <c r="M157" s="1">
        <v>14424.4048721045</v>
      </c>
      <c r="N157" s="1">
        <v>14746.48912321</v>
      </c>
      <c r="O157" s="1">
        <v>15577.6502251</v>
      </c>
      <c r="P157" s="1">
        <v>16265.913756510001</v>
      </c>
      <c r="Q157" s="1">
        <v>17311.109256380001</v>
      </c>
      <c r="R157" s="1">
        <v>18045.671812119999</v>
      </c>
      <c r="S157" s="1">
        <v>18677.20359411</v>
      </c>
      <c r="T157" s="1">
        <v>19486.886376279999</v>
      </c>
      <c r="U157" s="1">
        <v>20025.23931375</v>
      </c>
      <c r="V157" s="1">
        <v>20585.746344250001</v>
      </c>
      <c r="W157" s="1">
        <v>22156.886623599999</v>
      </c>
      <c r="X157" s="1">
        <v>21677.5042431</v>
      </c>
      <c r="Y157" s="1">
        <v>22727.905652670001</v>
      </c>
      <c r="Z157" s="1">
        <v>23649.170487579999</v>
      </c>
      <c r="AA157" s="1">
        <v>24255.61</v>
      </c>
      <c r="AB157" s="1">
        <v>25034.6</v>
      </c>
      <c r="AC157" s="1">
        <v>25879.119999999999</v>
      </c>
    </row>
    <row r="158" spans="1:29">
      <c r="A158" s="1">
        <f>VLOOKUP(B158,Legend!$C$32:$D$66,2,FALSE)</f>
        <v>62</v>
      </c>
      <c r="B158" s="1" t="s">
        <v>26</v>
      </c>
      <c r="C158" s="1" t="s">
        <v>103</v>
      </c>
      <c r="D158" s="1">
        <v>6396.9497316064098</v>
      </c>
      <c r="E158" s="1">
        <v>6167.2992328122</v>
      </c>
      <c r="F158" s="1">
        <v>6295.5790883712698</v>
      </c>
      <c r="G158" s="1">
        <v>6680.8684814923199</v>
      </c>
      <c r="H158" s="1">
        <v>7192.6230061311198</v>
      </c>
      <c r="I158" s="1">
        <v>7298.5349442503702</v>
      </c>
      <c r="J158" s="1">
        <v>7119.6627749784802</v>
      </c>
      <c r="K158" s="1">
        <v>7642.9976953710902</v>
      </c>
      <c r="L158" s="1">
        <v>7927.4729977585903</v>
      </c>
      <c r="M158" s="1">
        <v>8250.3026319930104</v>
      </c>
      <c r="N158" s="1">
        <v>8684.4117600000009</v>
      </c>
      <c r="O158" s="1">
        <v>8814.6424900000002</v>
      </c>
      <c r="P158" s="1">
        <v>9289.8794425600008</v>
      </c>
      <c r="Q158" s="1">
        <v>10011.827388739999</v>
      </c>
      <c r="R158" s="1">
        <v>11244.005444259999</v>
      </c>
      <c r="S158" s="1">
        <v>11976.409329489999</v>
      </c>
      <c r="T158" s="1">
        <v>12868.85885035</v>
      </c>
      <c r="U158" s="1">
        <v>14020.767784199999</v>
      </c>
      <c r="V158" s="1">
        <v>14736.82295625</v>
      </c>
      <c r="W158" s="1">
        <v>15388.50339493</v>
      </c>
      <c r="X158" s="1">
        <v>15381.423827619999</v>
      </c>
      <c r="Y158" s="1">
        <v>16182.94659453</v>
      </c>
      <c r="Z158" s="1">
        <v>16913.219694880001</v>
      </c>
      <c r="AA158" s="1">
        <v>17882.650000000001</v>
      </c>
      <c r="AB158" s="1">
        <v>17829.34</v>
      </c>
      <c r="AC158" s="1">
        <v>19200.580000000002</v>
      </c>
    </row>
    <row r="159" spans="1:29">
      <c r="A159" s="1">
        <f>VLOOKUP(B159,Legend!$C$32:$D$66,2,FALSE)</f>
        <v>63</v>
      </c>
      <c r="B159" s="1" t="s">
        <v>25</v>
      </c>
      <c r="C159" s="1" t="s">
        <v>103</v>
      </c>
      <c r="D159" s="1">
        <v>10692.101256117599</v>
      </c>
      <c r="E159" s="1">
        <v>10652.3609704019</v>
      </c>
      <c r="F159" s="1">
        <v>10561.7354400312</v>
      </c>
      <c r="G159" s="1">
        <v>10734.655371132299</v>
      </c>
      <c r="H159" s="1">
        <v>10883.6011869289</v>
      </c>
      <c r="I159" s="1">
        <v>10668.1449753992</v>
      </c>
      <c r="J159" s="1">
        <v>10486.592492138599</v>
      </c>
      <c r="K159" s="1">
        <v>10795.175111389201</v>
      </c>
      <c r="L159" s="1">
        <v>11097.367648891701</v>
      </c>
      <c r="M159" s="1">
        <v>11375.738028968901</v>
      </c>
      <c r="N159" s="1">
        <v>11702.276257269999</v>
      </c>
      <c r="O159" s="1">
        <v>12030.393052400001</v>
      </c>
      <c r="P159" s="1">
        <v>12641.814586160001</v>
      </c>
      <c r="Q159" s="1">
        <v>13106.24116259</v>
      </c>
      <c r="R159" s="1">
        <v>13573.444965029999</v>
      </c>
      <c r="S159" s="1">
        <v>14162.833700859999</v>
      </c>
      <c r="T159" s="1">
        <v>15078.39298778</v>
      </c>
      <c r="U159" s="1">
        <v>15936.38710996</v>
      </c>
      <c r="V159" s="1">
        <v>16627.550284199999</v>
      </c>
      <c r="W159" s="1">
        <v>16913.527172509999</v>
      </c>
      <c r="X159" s="1">
        <v>16298.90865755</v>
      </c>
      <c r="Y159" s="1">
        <v>17277.91762335</v>
      </c>
      <c r="Z159" s="1">
        <v>17855.33695402</v>
      </c>
      <c r="AA159" s="1">
        <v>18395.03</v>
      </c>
      <c r="AB159" s="1">
        <v>19284.689999999999</v>
      </c>
      <c r="AC159" s="1">
        <v>20705.64</v>
      </c>
    </row>
    <row r="160" spans="1:29">
      <c r="A160" s="1">
        <f>VLOOKUP(B160,Legend!$C$32:$D$66,2,FALSE)</f>
        <v>64</v>
      </c>
      <c r="B160" s="1" t="s">
        <v>27</v>
      </c>
      <c r="C160" s="1" t="s">
        <v>103</v>
      </c>
      <c r="D160" s="1">
        <v>107457.237156085</v>
      </c>
      <c r="E160" s="1">
        <v>111307.360085069</v>
      </c>
      <c r="F160" s="1">
        <v>106784.557075196</v>
      </c>
      <c r="G160" s="1">
        <v>106074.857504878</v>
      </c>
      <c r="H160" s="1">
        <v>105255.810901783</v>
      </c>
      <c r="I160" s="1">
        <v>104663.60434277701</v>
      </c>
      <c r="J160" s="1">
        <v>102047.804849546</v>
      </c>
      <c r="K160" s="1">
        <v>98105.205809392603</v>
      </c>
      <c r="L160" s="1">
        <v>101266.81767939701</v>
      </c>
      <c r="M160" s="1">
        <v>97244.921871306404</v>
      </c>
      <c r="N160" s="1">
        <v>94522.352749919999</v>
      </c>
      <c r="O160" s="1">
        <v>90960.159528010001</v>
      </c>
      <c r="P160" s="1">
        <v>87788.849919689994</v>
      </c>
      <c r="Q160" s="1">
        <v>86201.392440230004</v>
      </c>
      <c r="R160" s="1">
        <v>86590.088788160007</v>
      </c>
      <c r="S160" s="1">
        <v>88889.323107169999</v>
      </c>
      <c r="T160" s="1">
        <v>93740.627365530003</v>
      </c>
      <c r="U160" s="1">
        <v>96364.829230820003</v>
      </c>
      <c r="V160" s="1">
        <v>96797.538804719996</v>
      </c>
      <c r="W160" s="1">
        <v>96802.393708830001</v>
      </c>
      <c r="X160" s="1">
        <v>93909.766911109997</v>
      </c>
      <c r="Y160" s="1">
        <v>96209.521213970002</v>
      </c>
      <c r="Z160" s="1">
        <v>99658.389506749998</v>
      </c>
      <c r="AA160" s="1">
        <v>104363.86</v>
      </c>
      <c r="AB160" s="1">
        <v>104526.59</v>
      </c>
      <c r="AC160" s="1">
        <v>117780.03</v>
      </c>
    </row>
    <row r="161" spans="1:29">
      <c r="A161" s="1">
        <f>VLOOKUP(B161,Legend!$C$32:$D$66,2,FALSE)</f>
        <v>65</v>
      </c>
      <c r="B161" s="1" t="s">
        <v>46</v>
      </c>
      <c r="C161" s="1" t="s">
        <v>103</v>
      </c>
      <c r="N161" s="1">
        <v>3572.2342716899998</v>
      </c>
      <c r="O161" s="1">
        <v>3764.73221036</v>
      </c>
      <c r="P161" s="1">
        <v>3967.91331266</v>
      </c>
      <c r="Q161" s="1">
        <v>4224.9839148000001</v>
      </c>
      <c r="R161" s="1">
        <v>4459.0541617500003</v>
      </c>
      <c r="S161" s="1">
        <v>4732.38774749</v>
      </c>
      <c r="T161" s="1">
        <v>5030</v>
      </c>
      <c r="U161" s="1">
        <v>5308</v>
      </c>
      <c r="V161" s="1">
        <v>5371.0179193200001</v>
      </c>
      <c r="W161" s="1">
        <v>5629.8983632600002</v>
      </c>
      <c r="X161" s="1">
        <v>5413.4689240400003</v>
      </c>
      <c r="Y161" s="1">
        <v>5555.3654135699999</v>
      </c>
      <c r="Z161" s="1">
        <v>5768.3120640500001</v>
      </c>
      <c r="AA161" s="1">
        <v>5879.46</v>
      </c>
      <c r="AB161" s="1">
        <v>6188.51</v>
      </c>
      <c r="AC161" s="1">
        <v>6744.61</v>
      </c>
    </row>
    <row r="162" spans="1:29">
      <c r="A162" s="1">
        <f>VLOOKUP(B162,Legend!$C$32:$D$66,2,FALSE)</f>
        <v>71</v>
      </c>
      <c r="B162" s="1" t="s">
        <v>38</v>
      </c>
      <c r="C162" s="1" t="s">
        <v>103</v>
      </c>
      <c r="D162" s="1">
        <v>3430.8379666443798</v>
      </c>
      <c r="E162" s="1">
        <v>3634.4889243136699</v>
      </c>
      <c r="F162" s="1">
        <v>3738.13863897171</v>
      </c>
      <c r="G162" s="1">
        <v>3892.6440177949298</v>
      </c>
      <c r="H162" s="1">
        <v>3739.3918482968102</v>
      </c>
      <c r="I162" s="1">
        <v>3822.8707206999502</v>
      </c>
      <c r="J162" s="1">
        <v>4176.1902304587202</v>
      </c>
      <c r="K162" s="1">
        <v>4440.3607443563196</v>
      </c>
      <c r="L162" s="1">
        <v>4860.2168198255604</v>
      </c>
      <c r="M162" s="1">
        <v>5201.4851518402802</v>
      </c>
      <c r="N162" s="1">
        <v>5711.8521700000001</v>
      </c>
      <c r="O162" s="1">
        <v>6116.2481399999997</v>
      </c>
      <c r="P162" s="1">
        <v>6562.0109429399999</v>
      </c>
      <c r="Q162" s="1">
        <v>6902.3066129400004</v>
      </c>
      <c r="R162" s="1">
        <v>7138.1720148200002</v>
      </c>
      <c r="S162" s="1">
        <v>7338.08296109</v>
      </c>
      <c r="T162" s="1">
        <v>7417.0694802300004</v>
      </c>
      <c r="U162" s="1">
        <v>8010.1899960399996</v>
      </c>
      <c r="V162" s="1">
        <v>8362.1671850300008</v>
      </c>
      <c r="W162" s="1">
        <v>8411.5982631299994</v>
      </c>
      <c r="X162" s="1">
        <v>8787.8556917700007</v>
      </c>
      <c r="Y162" s="1">
        <v>9534.3948649699996</v>
      </c>
      <c r="Z162" s="1">
        <v>10230.48922747</v>
      </c>
      <c r="AA162" s="1">
        <v>10948.51</v>
      </c>
      <c r="AB162" s="1">
        <v>11410.76</v>
      </c>
      <c r="AC162" s="1">
        <v>12548.92</v>
      </c>
    </row>
    <row r="163" spans="1:29">
      <c r="A163" s="1">
        <f>VLOOKUP(B163,Legend!$C$32:$D$66,2,FALSE)</f>
        <v>72</v>
      </c>
      <c r="B163" s="1" t="s">
        <v>36</v>
      </c>
      <c r="C163" s="1" t="s">
        <v>103</v>
      </c>
      <c r="D163" s="1">
        <v>2037.1753485766801</v>
      </c>
      <c r="E163" s="1">
        <v>2116.0335718290398</v>
      </c>
      <c r="F163" s="1">
        <v>2199.3070654305202</v>
      </c>
      <c r="G163" s="1">
        <v>2282.9808859364698</v>
      </c>
      <c r="H163" s="1">
        <v>2341.430158224</v>
      </c>
      <c r="I163" s="1">
        <v>2430.9613154132799</v>
      </c>
      <c r="J163" s="1">
        <v>2530.4415937533799</v>
      </c>
      <c r="K163" s="1">
        <v>2793.9730406368699</v>
      </c>
      <c r="L163" s="1">
        <v>2972.37201067863</v>
      </c>
      <c r="M163" s="1">
        <v>3223.3035466731399</v>
      </c>
      <c r="N163" s="1">
        <v>3423.5299563899998</v>
      </c>
      <c r="O163" s="1">
        <v>3591.5149895200002</v>
      </c>
      <c r="P163" s="1">
        <v>3788.5176219999998</v>
      </c>
      <c r="Q163" s="1">
        <v>3956.8079687999998</v>
      </c>
      <c r="R163" s="1">
        <v>4274.1028887700004</v>
      </c>
      <c r="S163" s="1">
        <v>8119.8280315499997</v>
      </c>
      <c r="T163" s="1">
        <v>10958.22705978</v>
      </c>
      <c r="U163" s="1">
        <v>12185.03410121</v>
      </c>
      <c r="V163" s="1">
        <v>25136.284820000001</v>
      </c>
      <c r="W163" s="1">
        <v>29483.93951</v>
      </c>
      <c r="X163" s="1">
        <v>36464.638850000003</v>
      </c>
      <c r="Y163" s="1">
        <v>43618.209510000001</v>
      </c>
      <c r="Z163" s="1">
        <v>56659.016109999997</v>
      </c>
      <c r="AA163" s="1">
        <v>71086.179999999993</v>
      </c>
      <c r="AB163" s="1">
        <v>84675.78</v>
      </c>
      <c r="AC163" s="1">
        <v>96632.25</v>
      </c>
    </row>
    <row r="164" spans="1:29">
      <c r="A164" s="1">
        <f>VLOOKUP(B164,Legend!$C$32:$D$66,2,FALSE)</f>
        <v>73</v>
      </c>
      <c r="B164" s="1" t="s">
        <v>35</v>
      </c>
      <c r="C164" s="1" t="s">
        <v>103</v>
      </c>
      <c r="D164" s="1">
        <v>13712.9990041123</v>
      </c>
      <c r="E164" s="1">
        <v>14498.661283920101</v>
      </c>
      <c r="F164" s="1">
        <v>14930.592428404399</v>
      </c>
      <c r="G164" s="1">
        <v>16110.507214765899</v>
      </c>
      <c r="H164" s="1">
        <v>17114.109001992001</v>
      </c>
      <c r="I164" s="1">
        <v>17567.126815689498</v>
      </c>
      <c r="J164" s="1">
        <v>18835.3428154018</v>
      </c>
      <c r="K164" s="1">
        <v>19728.321386994299</v>
      </c>
      <c r="L164" s="1">
        <v>21446.579326300402</v>
      </c>
      <c r="M164" s="1">
        <v>22227.767221379901</v>
      </c>
      <c r="N164" s="1">
        <v>23604.458293849999</v>
      </c>
      <c r="O164" s="1">
        <v>25736.566418660001</v>
      </c>
      <c r="P164" s="1">
        <v>27966.145826200001</v>
      </c>
      <c r="Q164" s="1">
        <v>30545.257414430002</v>
      </c>
      <c r="R164" s="1">
        <v>33293.323393209997</v>
      </c>
      <c r="S164" s="1">
        <v>35547.210567319999</v>
      </c>
      <c r="T164" s="1">
        <v>38473.771086319997</v>
      </c>
      <c r="U164" s="1">
        <v>40407.185252750001</v>
      </c>
      <c r="V164" s="1">
        <v>40786.592438469997</v>
      </c>
      <c r="W164" s="1">
        <v>44830.630631740001</v>
      </c>
      <c r="X164" s="1">
        <v>42781.919828519996</v>
      </c>
      <c r="Y164" s="1">
        <v>44075.317266149999</v>
      </c>
      <c r="Z164" s="1">
        <v>48363.155643290003</v>
      </c>
      <c r="AA164" s="1">
        <v>50444.82</v>
      </c>
      <c r="AB164" s="1">
        <v>52887.14</v>
      </c>
      <c r="AC164" s="1">
        <v>55550.61</v>
      </c>
    </row>
    <row r="165" spans="1:29">
      <c r="A165" s="1">
        <f>VLOOKUP(B165,Legend!$C$32:$D$66,2,FALSE)</f>
        <v>74</v>
      </c>
      <c r="B165" s="1" t="s">
        <v>37</v>
      </c>
      <c r="C165" s="1" t="s">
        <v>103</v>
      </c>
      <c r="D165" s="1">
        <v>1840.2495763025199</v>
      </c>
      <c r="E165" s="1">
        <v>1779.9525570230401</v>
      </c>
      <c r="F165" s="1">
        <v>1711.63727637735</v>
      </c>
      <c r="G165" s="1">
        <v>1741.83453456136</v>
      </c>
      <c r="H165" s="1">
        <v>1771.20865900594</v>
      </c>
      <c r="I165" s="1">
        <v>1825.2998547186</v>
      </c>
      <c r="J165" s="1">
        <v>2383.6342108015801</v>
      </c>
      <c r="K165" s="1">
        <v>2631.9486163083602</v>
      </c>
      <c r="L165" s="1">
        <v>2794.4739002920301</v>
      </c>
      <c r="M165" s="1">
        <v>2717.46046178193</v>
      </c>
      <c r="N165" s="1">
        <v>3227.7641293800002</v>
      </c>
      <c r="O165" s="1">
        <v>3522.8299097399999</v>
      </c>
      <c r="P165" s="1">
        <v>3669.8568203999998</v>
      </c>
      <c r="Q165" s="1">
        <v>3824.6769064999999</v>
      </c>
      <c r="R165" s="1">
        <v>4120.6530420600002</v>
      </c>
      <c r="S165" s="1">
        <v>4439.2238408200001</v>
      </c>
      <c r="T165" s="1">
        <v>4834.30370451</v>
      </c>
      <c r="U165" s="1">
        <v>5142.9396842300002</v>
      </c>
      <c r="V165" s="1">
        <v>5493.3899146499998</v>
      </c>
      <c r="W165" s="1">
        <v>6088.1729735700001</v>
      </c>
      <c r="X165" s="1">
        <v>6708.6961887799998</v>
      </c>
      <c r="Y165" s="1">
        <v>7137.1287214000004</v>
      </c>
      <c r="Z165" s="1">
        <v>8336.6720074799996</v>
      </c>
      <c r="AA165" s="1">
        <v>9404.49</v>
      </c>
      <c r="AB165" s="1">
        <v>10625.13</v>
      </c>
      <c r="AC165" s="1">
        <v>12209.6</v>
      </c>
    </row>
    <row r="166" spans="1:29">
      <c r="A166" s="1">
        <f>VLOOKUP(B166,Legend!$C$32:$D$66,2,FALSE)</f>
        <v>75</v>
      </c>
      <c r="B166" s="1" t="s">
        <v>12</v>
      </c>
      <c r="C166" s="1" t="s">
        <v>103</v>
      </c>
      <c r="D166" s="1">
        <v>507.20261483157498</v>
      </c>
      <c r="E166" s="1">
        <v>439.49469193346403</v>
      </c>
      <c r="F166" s="1">
        <v>463.69096091875701</v>
      </c>
      <c r="G166" s="1">
        <v>486.78811320776703</v>
      </c>
      <c r="H166" s="1">
        <v>511.84205449345598</v>
      </c>
      <c r="I166" s="1">
        <v>536.02920817466804</v>
      </c>
      <c r="J166" s="1">
        <v>504.25172966946798</v>
      </c>
      <c r="K166" s="1">
        <v>531.43594975580095</v>
      </c>
      <c r="L166" s="1">
        <v>560.515686765243</v>
      </c>
      <c r="M166" s="1">
        <v>581.04150181458704</v>
      </c>
      <c r="N166" s="1">
        <v>632.21660918999999</v>
      </c>
      <c r="O166" s="1">
        <v>681.36329942999998</v>
      </c>
      <c r="P166" s="1">
        <v>737.13025913000001</v>
      </c>
      <c r="Q166" s="1">
        <v>796.02112371999999</v>
      </c>
      <c r="R166" s="1">
        <v>843.80307001000006</v>
      </c>
      <c r="S166" s="1">
        <v>883.12926426000001</v>
      </c>
      <c r="T166" s="1">
        <v>941.22857280999995</v>
      </c>
      <c r="U166" s="1">
        <v>973.80069279999998</v>
      </c>
      <c r="V166" s="1">
        <v>1039.70115274</v>
      </c>
      <c r="W166" s="1">
        <v>1159.77910879</v>
      </c>
      <c r="X166" s="1">
        <v>1172.89001377</v>
      </c>
      <c r="Y166" s="1">
        <v>1235.2933371500001</v>
      </c>
      <c r="Z166" s="1">
        <v>1332.26835521</v>
      </c>
      <c r="AA166" s="1">
        <v>1338.4</v>
      </c>
      <c r="AB166" s="1">
        <v>1381.61</v>
      </c>
      <c r="AC166" s="1">
        <v>1607.63</v>
      </c>
    </row>
    <row r="167" spans="1:29">
      <c r="A167" s="1">
        <f>VLOOKUP(B167,Legend!$C$32:$D$66,2,FALSE)</f>
        <v>76</v>
      </c>
      <c r="B167" s="1" t="s">
        <v>34</v>
      </c>
      <c r="C167" s="1" t="s">
        <v>103</v>
      </c>
      <c r="H167" s="1">
        <v>775.12036916873774</v>
      </c>
      <c r="I167" s="1">
        <v>872.01041531482997</v>
      </c>
      <c r="J167" s="1">
        <v>933.49441784351097</v>
      </c>
      <c r="K167" s="1">
        <v>1001.54245678926</v>
      </c>
      <c r="L167" s="1">
        <v>1193.6705550906299</v>
      </c>
      <c r="M167" s="1">
        <v>1296.5172757255</v>
      </c>
      <c r="N167" s="1">
        <v>1497.0398043099999</v>
      </c>
      <c r="O167" s="1">
        <v>1720.11355</v>
      </c>
      <c r="P167" s="1">
        <v>1836.8695654799999</v>
      </c>
      <c r="Q167" s="1">
        <v>1967.03833472</v>
      </c>
      <c r="R167" s="1">
        <v>2668.8804084899998</v>
      </c>
      <c r="S167" s="1">
        <v>2966.34592875</v>
      </c>
      <c r="T167" s="1">
        <v>2893.3123307999999</v>
      </c>
      <c r="U167" s="1">
        <v>3123.6644078999998</v>
      </c>
      <c r="V167" s="1">
        <v>3358.2753819599998</v>
      </c>
      <c r="W167" s="1">
        <v>3530.4661921100001</v>
      </c>
      <c r="X167" s="1">
        <v>3406.4726510800001</v>
      </c>
      <c r="Y167" s="1">
        <v>3606.9876052300001</v>
      </c>
      <c r="Z167" s="1">
        <v>3580.17949864</v>
      </c>
      <c r="AA167" s="1">
        <v>4102.2700000000004</v>
      </c>
      <c r="AB167" s="1">
        <v>4033.13</v>
      </c>
      <c r="AC167" s="1">
        <v>4670.82</v>
      </c>
    </row>
    <row r="168" spans="1:29">
      <c r="A168" s="1">
        <f>VLOOKUP(B168,Legend!$C$32:$D$66,2,FALSE)</f>
        <v>81</v>
      </c>
      <c r="B168" s="1" t="s">
        <v>13</v>
      </c>
      <c r="C168" s="1" t="s">
        <v>103</v>
      </c>
      <c r="D168" s="1">
        <v>747.93598041923701</v>
      </c>
      <c r="E168" s="1">
        <v>695.154658300704</v>
      </c>
      <c r="F168" s="1">
        <v>696.70198290058204</v>
      </c>
      <c r="G168" s="1">
        <v>710.14831159922505</v>
      </c>
      <c r="H168" s="1">
        <v>734.64845030346498</v>
      </c>
      <c r="I168" s="1">
        <v>761.24274219729398</v>
      </c>
      <c r="J168" s="1">
        <v>800.97960243039495</v>
      </c>
      <c r="K168" s="1">
        <v>900.40369987543204</v>
      </c>
      <c r="L168" s="1">
        <v>941.32621007128296</v>
      </c>
      <c r="M168" s="1">
        <v>1006.96479207551</v>
      </c>
      <c r="N168" s="1">
        <v>1011.02946634</v>
      </c>
      <c r="O168" s="1">
        <v>1060.6893635500001</v>
      </c>
      <c r="P168" s="1">
        <v>1121.1796030800001</v>
      </c>
      <c r="Q168" s="1">
        <v>1186.1738878900001</v>
      </c>
      <c r="R168" s="1">
        <v>1286.0632455099999</v>
      </c>
      <c r="S168" s="1">
        <v>1336.3179496600001</v>
      </c>
      <c r="T168" s="1">
        <v>1430.36377969</v>
      </c>
      <c r="U168" s="1">
        <v>1498.38026887</v>
      </c>
      <c r="V168" s="1">
        <v>1607.48218791</v>
      </c>
      <c r="W168" s="1">
        <v>1650.65543086</v>
      </c>
      <c r="X168" s="1">
        <v>1612.5860801399999</v>
      </c>
      <c r="Y168" s="1">
        <v>1798.5894400899999</v>
      </c>
      <c r="Z168" s="1">
        <v>2019.62171216</v>
      </c>
      <c r="AA168" s="1">
        <v>2350.16</v>
      </c>
      <c r="AB168" s="1">
        <v>2444.1</v>
      </c>
      <c r="AC168" s="1">
        <v>2574.9299999999998</v>
      </c>
    </row>
    <row r="169" spans="1:29">
      <c r="A169" s="1">
        <f>VLOOKUP(B169,Legend!$C$32:$D$66,2,FALSE)</f>
        <v>82</v>
      </c>
      <c r="B169" s="1" t="s">
        <v>30</v>
      </c>
      <c r="C169" s="1" t="s">
        <v>103</v>
      </c>
      <c r="D169" s="1">
        <v>677.05032162351699</v>
      </c>
      <c r="E169" s="1">
        <v>683.66113203348402</v>
      </c>
      <c r="F169" s="1">
        <v>709.61165893748898</v>
      </c>
      <c r="G169" s="1">
        <v>721.51565427295998</v>
      </c>
      <c r="H169" s="1">
        <v>756.17123500757202</v>
      </c>
      <c r="I169" s="1">
        <v>785.03817217102301</v>
      </c>
      <c r="J169" s="1">
        <v>818.79807215018798</v>
      </c>
      <c r="K169" s="1">
        <v>878.08926597320101</v>
      </c>
      <c r="L169" s="1">
        <v>850.29973596713398</v>
      </c>
      <c r="M169" s="1">
        <v>806.25568649005504</v>
      </c>
      <c r="N169" s="1">
        <v>850.29973599000004</v>
      </c>
      <c r="O169" s="1">
        <v>870.29814334000002</v>
      </c>
      <c r="P169" s="1">
        <v>898.58548614999995</v>
      </c>
      <c r="Q169" s="1">
        <v>956.81316719999995</v>
      </c>
      <c r="R169" s="1">
        <v>1054.45142246</v>
      </c>
      <c r="S169" s="1">
        <v>1093.65193204</v>
      </c>
      <c r="T169" s="1">
        <v>1260.2943090199999</v>
      </c>
      <c r="U169" s="1">
        <v>1665.2368609600001</v>
      </c>
      <c r="V169" s="1">
        <v>1971.8691923700001</v>
      </c>
      <c r="W169" s="1">
        <v>1996.0027742499999</v>
      </c>
      <c r="X169" s="1">
        <v>3213.1723550000002</v>
      </c>
      <c r="Y169" s="1">
        <v>5842.5814490000002</v>
      </c>
      <c r="Z169" s="1">
        <v>10326.441930000001</v>
      </c>
      <c r="AA169" s="1">
        <v>14877.8</v>
      </c>
      <c r="AB169" s="1">
        <v>18662.810000000001</v>
      </c>
      <c r="AC169" s="1">
        <v>30352.67</v>
      </c>
    </row>
    <row r="170" spans="1:29">
      <c r="A170" s="1">
        <f>VLOOKUP(B170,Legend!$C$32:$D$66,2,FALSE)</f>
        <v>91</v>
      </c>
      <c r="B170" s="1" t="s">
        <v>33</v>
      </c>
      <c r="C170" s="1" t="s">
        <v>103</v>
      </c>
      <c r="F170" s="1">
        <v>2174.30039479581</v>
      </c>
      <c r="G170" s="1">
        <v>2546.13459397313</v>
      </c>
      <c r="H170" s="1">
        <v>3100.4584366867698</v>
      </c>
      <c r="I170" s="1">
        <v>3359.6309974563701</v>
      </c>
      <c r="J170" s="1">
        <v>3377.2385613769402</v>
      </c>
      <c r="K170" s="1">
        <v>3654.7388942730699</v>
      </c>
      <c r="L170" s="1">
        <v>3932.7900241090601</v>
      </c>
      <c r="M170" s="1">
        <v>6146.7465897166303</v>
      </c>
      <c r="N170" s="1">
        <v>13524.271158879999</v>
      </c>
      <c r="O170" s="1">
        <v>14094.13816181</v>
      </c>
      <c r="P170" s="1">
        <v>14501.46108818</v>
      </c>
      <c r="Q170" s="1">
        <v>15728.580957120001</v>
      </c>
      <c r="R170" s="1">
        <v>16348.29850624</v>
      </c>
      <c r="S170" s="1">
        <v>16695.36780258</v>
      </c>
      <c r="T170" s="1">
        <v>17241.394216559998</v>
      </c>
      <c r="U170" s="1">
        <v>17741.147583779999</v>
      </c>
      <c r="V170" s="1">
        <v>19032.383821889998</v>
      </c>
      <c r="W170" s="1">
        <v>18843.489693089999</v>
      </c>
      <c r="X170" s="1">
        <v>19194.619884690001</v>
      </c>
      <c r="Y170" s="1">
        <v>18752.243241700002</v>
      </c>
      <c r="Z170" s="1">
        <v>19299.24833459</v>
      </c>
      <c r="AA170" s="1">
        <v>21067.57</v>
      </c>
      <c r="AB170" s="1">
        <v>26600.9</v>
      </c>
      <c r="AC170" s="1">
        <v>28731.18</v>
      </c>
    </row>
    <row r="171" spans="1:29">
      <c r="A171" s="1">
        <f>VLOOKUP(B171,Legend!$C$32:$D$66,2,FALSE)</f>
        <v>94</v>
      </c>
      <c r="B171" s="1" t="s">
        <v>14</v>
      </c>
      <c r="C171" s="1" t="s">
        <v>103</v>
      </c>
      <c r="D171" s="1">
        <v>3123.4783833557599</v>
      </c>
      <c r="E171" s="1">
        <v>3260.5766783764202</v>
      </c>
      <c r="F171" s="1">
        <v>1497.8407023172499</v>
      </c>
      <c r="G171" s="1">
        <v>1585.77336328308</v>
      </c>
      <c r="H171" s="1">
        <v>1636.73963836344</v>
      </c>
      <c r="I171" s="1">
        <v>1696.2790307084899</v>
      </c>
      <c r="J171" s="1">
        <v>1812.99038027903</v>
      </c>
      <c r="K171" s="1">
        <v>1790.34270601708</v>
      </c>
      <c r="L171" s="1">
        <v>1822.74576133295</v>
      </c>
      <c r="M171" s="1">
        <v>1936.0495633153801</v>
      </c>
      <c r="N171" s="1">
        <v>2097.50331357</v>
      </c>
      <c r="O171" s="1">
        <v>2209.17852584</v>
      </c>
      <c r="P171" s="1">
        <v>2251.7076714999998</v>
      </c>
      <c r="Q171" s="1">
        <v>2299.6706778900002</v>
      </c>
      <c r="R171" s="1">
        <v>2500.12512474</v>
      </c>
      <c r="S171" s="1">
        <v>2594.3189383399999</v>
      </c>
      <c r="T171" s="1">
        <v>2710.2880231700001</v>
      </c>
      <c r="U171" s="1">
        <v>2885.4101587800001</v>
      </c>
      <c r="V171" s="1">
        <v>3048.3716489799999</v>
      </c>
      <c r="W171" s="1">
        <v>3010.4075852599999</v>
      </c>
      <c r="X171" s="1">
        <v>2859.43404289</v>
      </c>
      <c r="Y171" s="1">
        <v>2853.4994622600002</v>
      </c>
      <c r="Z171" s="1">
        <v>4312.36995673</v>
      </c>
      <c r="AA171" s="1">
        <v>2889.92</v>
      </c>
      <c r="AB171" s="1">
        <v>3019.8900000000003</v>
      </c>
      <c r="AC171" s="1">
        <v>3129.8599999999997</v>
      </c>
    </row>
    <row r="172" spans="1:29">
      <c r="A172" s="1">
        <f>VLOOKUP(B172,Legend!$C$32:$D$66,2,FALSE)</f>
        <v>11</v>
      </c>
      <c r="B172" s="1" t="s">
        <v>3</v>
      </c>
      <c r="C172" s="1" t="s">
        <v>85</v>
      </c>
      <c r="D172" s="1">
        <v>72928.514149748298</v>
      </c>
      <c r="E172" s="1">
        <v>52573.8684659235</v>
      </c>
      <c r="F172" s="1">
        <v>87687.132730619705</v>
      </c>
      <c r="G172" s="1">
        <v>96329.993054552193</v>
      </c>
      <c r="H172" s="1">
        <v>73157.801765226701</v>
      </c>
      <c r="I172" s="1">
        <v>56610.052309057202</v>
      </c>
      <c r="J172" s="1">
        <v>55148.443775744599</v>
      </c>
      <c r="K172" s="1">
        <v>43511.6149765132</v>
      </c>
      <c r="L172" s="1">
        <v>31661.076321726501</v>
      </c>
      <c r="M172" s="1">
        <v>16690.6751852245</v>
      </c>
      <c r="N172" s="1">
        <v>15582.03254106</v>
      </c>
      <c r="O172" s="1">
        <v>15267.408712889999</v>
      </c>
      <c r="P172" s="1">
        <v>14889.646154010001</v>
      </c>
      <c r="Q172" s="1">
        <v>14120.8605209</v>
      </c>
      <c r="R172" s="1">
        <v>12799.98089341</v>
      </c>
      <c r="S172" s="1">
        <v>9319.7148821400006</v>
      </c>
      <c r="T172" s="1">
        <v>8127.8313703800004</v>
      </c>
      <c r="U172" s="1">
        <v>8581.2965797300003</v>
      </c>
      <c r="V172" s="1">
        <v>9152.5057988400004</v>
      </c>
      <c r="W172" s="1">
        <v>9688.8370917100001</v>
      </c>
      <c r="X172" s="1">
        <v>10485.33141685</v>
      </c>
      <c r="Y172" s="1">
        <v>10407.744114700001</v>
      </c>
      <c r="Z172" s="1">
        <v>10855.2138638</v>
      </c>
      <c r="AA172" s="1">
        <v>10330.719999999999</v>
      </c>
      <c r="AB172" s="1">
        <v>11483.25</v>
      </c>
      <c r="AC172" s="1">
        <v>11599.41</v>
      </c>
    </row>
    <row r="173" spans="1:29">
      <c r="A173" s="1">
        <f>VLOOKUP(B173,Legend!$C$32:$D$66,2,FALSE)</f>
        <v>12</v>
      </c>
      <c r="B173" s="1" t="s">
        <v>41</v>
      </c>
      <c r="C173" s="1" t="s">
        <v>85</v>
      </c>
      <c r="D173" s="1">
        <v>3130.7611564813901</v>
      </c>
      <c r="E173" s="1">
        <v>2743.78655307286</v>
      </c>
      <c r="F173" s="1">
        <v>2730.1507879156002</v>
      </c>
      <c r="G173" s="1">
        <v>2693.2059781071598</v>
      </c>
      <c r="H173" s="1">
        <v>2405.6206585956202</v>
      </c>
      <c r="I173" s="1">
        <v>2560.0435260324998</v>
      </c>
      <c r="J173" s="1">
        <v>2666.8267883591502</v>
      </c>
      <c r="K173" s="1">
        <v>2927.5829866794402</v>
      </c>
      <c r="L173" s="1">
        <v>3106.9402177177199</v>
      </c>
      <c r="M173" s="1">
        <v>3151.3297192790001</v>
      </c>
      <c r="N173" s="1">
        <v>3336.3402639999999</v>
      </c>
      <c r="O173" s="1">
        <v>3693.9909160000002</v>
      </c>
      <c r="P173" s="1">
        <v>4135.2551640000001</v>
      </c>
      <c r="Q173" s="1">
        <v>5211.647422</v>
      </c>
      <c r="R173" s="1">
        <v>5480.3737060000003</v>
      </c>
      <c r="S173" s="1">
        <v>5814.9389849999998</v>
      </c>
      <c r="T173" s="1">
        <v>6144.9949079999997</v>
      </c>
      <c r="U173" s="1">
        <v>6440.5406350000003</v>
      </c>
      <c r="V173" s="1">
        <v>6792.014013</v>
      </c>
      <c r="W173" s="1">
        <v>7099.7945730000001</v>
      </c>
      <c r="X173" s="1">
        <v>6936.056853</v>
      </c>
      <c r="Y173" s="1">
        <v>7069.0916360000001</v>
      </c>
      <c r="Z173" s="1">
        <v>7253.9901827599997</v>
      </c>
      <c r="AA173" s="1">
        <v>7510.22</v>
      </c>
      <c r="AB173" s="1">
        <v>7812.29</v>
      </c>
      <c r="AC173" s="1">
        <v>7945.15</v>
      </c>
    </row>
    <row r="174" spans="1:29">
      <c r="A174" s="1">
        <f>VLOOKUP(B174,Legend!$C$32:$D$66,2,FALSE)</f>
        <v>13</v>
      </c>
      <c r="B174" s="1" t="s">
        <v>39</v>
      </c>
      <c r="C174" s="1" t="s">
        <v>85</v>
      </c>
      <c r="D174" s="1">
        <v>3471.4771174123998</v>
      </c>
      <c r="E174" s="1">
        <v>3450.3645239356802</v>
      </c>
      <c r="F174" s="1">
        <v>3515.1390213671498</v>
      </c>
      <c r="G174" s="1">
        <v>3552.3461662291002</v>
      </c>
      <c r="H174" s="1">
        <v>3668.0797250472101</v>
      </c>
      <c r="I174" s="1">
        <v>3781.3087715534898</v>
      </c>
      <c r="J174" s="1">
        <v>3896.2880410354401</v>
      </c>
      <c r="K174" s="1">
        <v>4086.9717019549498</v>
      </c>
      <c r="L174" s="1">
        <v>4318.4881495099298</v>
      </c>
      <c r="M174" s="1">
        <v>4519.7106005683499</v>
      </c>
      <c r="N174" s="1">
        <v>4782.0744943700001</v>
      </c>
      <c r="O174" s="1">
        <v>5028.1878386500002</v>
      </c>
      <c r="P174" s="1">
        <v>5321.0070557600002</v>
      </c>
      <c r="Q174" s="1">
        <v>5722.8212854699996</v>
      </c>
      <c r="R174" s="1">
        <v>5923.5652083900004</v>
      </c>
      <c r="S174" s="1">
        <v>6144.5774510499996</v>
      </c>
      <c r="T174" s="1">
        <v>6267.6067637599999</v>
      </c>
      <c r="U174" s="1">
        <v>6338.2671724700003</v>
      </c>
      <c r="V174" s="1">
        <v>6705.04943241</v>
      </c>
      <c r="W174" s="1">
        <v>7121.8602517500003</v>
      </c>
      <c r="X174" s="1">
        <v>7028.90761561</v>
      </c>
      <c r="Y174" s="1">
        <v>6904.5460122499999</v>
      </c>
      <c r="Z174" s="1">
        <v>7038.2769547600001</v>
      </c>
      <c r="AA174" s="1">
        <v>7365.81</v>
      </c>
      <c r="AB174" s="1">
        <v>7658.03</v>
      </c>
      <c r="AC174" s="1">
        <v>7731.14</v>
      </c>
    </row>
    <row r="175" spans="1:29">
      <c r="A175" s="1">
        <f>VLOOKUP(B175,Legend!$C$32:$D$66,2,FALSE)</f>
        <v>14</v>
      </c>
      <c r="B175" s="1" t="s">
        <v>4</v>
      </c>
      <c r="C175" s="1" t="s">
        <v>85</v>
      </c>
      <c r="D175" s="1">
        <v>132540.550079929</v>
      </c>
      <c r="E175" s="1">
        <v>123475.82149080699</v>
      </c>
      <c r="F175" s="1">
        <v>121400.85752675599</v>
      </c>
      <c r="G175" s="1">
        <v>114095.608296165</v>
      </c>
      <c r="H175" s="1">
        <v>112738.895987119</v>
      </c>
      <c r="I175" s="1">
        <v>116926.05610280301</v>
      </c>
      <c r="J175" s="1">
        <v>120326.21199717501</v>
      </c>
      <c r="K175" s="1">
        <v>120171.82144480399</v>
      </c>
      <c r="L175" s="1">
        <v>124890.133527026</v>
      </c>
      <c r="M175" s="1">
        <v>124864.268666823</v>
      </c>
      <c r="N175" s="1">
        <v>126754.6966461</v>
      </c>
      <c r="O175" s="1">
        <v>130695.41391349</v>
      </c>
      <c r="P175" s="1">
        <v>128830.86930195001</v>
      </c>
      <c r="Q175" s="1">
        <v>123107.88031752</v>
      </c>
      <c r="R175" s="1">
        <v>116655.82289506</v>
      </c>
      <c r="S175" s="1">
        <v>108549.18456952</v>
      </c>
      <c r="T175" s="1">
        <v>103958.45176701</v>
      </c>
      <c r="U175" s="1">
        <v>97348.953100359999</v>
      </c>
      <c r="V175" s="1">
        <v>92055.331194319995</v>
      </c>
      <c r="W175" s="1">
        <v>85631.560043670004</v>
      </c>
      <c r="X175" s="1">
        <v>80190.792637649996</v>
      </c>
      <c r="Y175" s="1">
        <v>77687.796277829999</v>
      </c>
      <c r="Z175" s="1">
        <v>78744.076008090007</v>
      </c>
      <c r="AA175" s="1">
        <v>80730.22</v>
      </c>
      <c r="AB175" s="1">
        <v>81020.06</v>
      </c>
      <c r="AC175" s="1">
        <v>81117.350000000006</v>
      </c>
    </row>
    <row r="176" spans="1:29">
      <c r="A176" s="1">
        <f>VLOOKUP(B176,Legend!$C$32:$D$66,2,FALSE)</f>
        <v>15</v>
      </c>
      <c r="B176" s="1" t="s">
        <v>5</v>
      </c>
      <c r="C176" s="1" t="s">
        <v>85</v>
      </c>
      <c r="D176" s="1">
        <v>13472.7343303746</v>
      </c>
      <c r="E176" s="1">
        <v>17432.7023448334</v>
      </c>
      <c r="F176" s="1">
        <v>17167.144918129601</v>
      </c>
      <c r="G176" s="1">
        <v>17650.4008340254</v>
      </c>
      <c r="H176" s="1">
        <v>17765.323666873999</v>
      </c>
      <c r="I176" s="1">
        <v>17950.327555045398</v>
      </c>
      <c r="J176" s="1">
        <v>16642.405877483401</v>
      </c>
      <c r="K176" s="1">
        <v>18240.896537418699</v>
      </c>
      <c r="L176" s="1">
        <v>20922.122257948002</v>
      </c>
      <c r="M176" s="1">
        <v>21191.451571839902</v>
      </c>
      <c r="N176" s="1">
        <v>24255.278175700001</v>
      </c>
      <c r="O176" s="1">
        <v>27265.30658724</v>
      </c>
      <c r="P176" s="1">
        <v>28595.7748593</v>
      </c>
      <c r="Q176" s="1">
        <v>29692.33491062</v>
      </c>
      <c r="R176" s="1">
        <v>30951.985928630002</v>
      </c>
      <c r="S176" s="1">
        <v>30879.89701225</v>
      </c>
      <c r="T176" s="1">
        <v>31016.887692870001</v>
      </c>
      <c r="U176" s="1">
        <v>32207.044471590001</v>
      </c>
      <c r="V176" s="1">
        <v>34104.17271033</v>
      </c>
      <c r="W176" s="1">
        <v>35709.319373459999</v>
      </c>
      <c r="X176" s="1">
        <v>34988.963222480001</v>
      </c>
      <c r="Y176" s="1">
        <v>35730.220513139997</v>
      </c>
      <c r="Z176" s="1">
        <v>38502.029823680001</v>
      </c>
      <c r="AA176" s="1">
        <v>38517.96</v>
      </c>
      <c r="AB176" s="1">
        <v>38163.879999999997</v>
      </c>
      <c r="AC176" s="1">
        <v>40445.94</v>
      </c>
    </row>
    <row r="177" spans="1:29">
      <c r="A177" s="1">
        <f>VLOOKUP(B177,Legend!$C$32:$D$66,2,FALSE)</f>
        <v>16</v>
      </c>
      <c r="B177" s="1" t="s">
        <v>40</v>
      </c>
      <c r="C177" s="1" t="s">
        <v>85</v>
      </c>
      <c r="D177" s="1">
        <v>41386.658881540701</v>
      </c>
      <c r="E177" s="1">
        <v>42149.728850949803</v>
      </c>
      <c r="F177" s="1">
        <v>42079.456930701301</v>
      </c>
      <c r="G177" s="1">
        <v>42053.440543062599</v>
      </c>
      <c r="H177" s="1">
        <v>42224.3013160189</v>
      </c>
      <c r="I177" s="1">
        <v>42401.425234501701</v>
      </c>
      <c r="J177" s="1">
        <v>42553.445676857198</v>
      </c>
      <c r="K177" s="1">
        <v>42660.809796183203</v>
      </c>
      <c r="L177" s="1">
        <v>43312.886266354901</v>
      </c>
      <c r="M177" s="1">
        <v>44013.576069731302</v>
      </c>
      <c r="N177" s="1">
        <v>45242.847999999998</v>
      </c>
      <c r="O177" s="1">
        <v>47761.798000000003</v>
      </c>
      <c r="P177" s="1">
        <v>49910.771000000001</v>
      </c>
      <c r="Q177" s="1">
        <v>51512.648388900001</v>
      </c>
      <c r="R177" s="1">
        <v>53234.720927199996</v>
      </c>
      <c r="S177" s="1">
        <v>55330.266663360002</v>
      </c>
      <c r="T177" s="1">
        <v>57303.521224600001</v>
      </c>
      <c r="U177" s="1">
        <v>60398.350312269999</v>
      </c>
      <c r="V177" s="1">
        <v>65887.882257859994</v>
      </c>
      <c r="W177" s="1">
        <v>71234.499206349996</v>
      </c>
      <c r="X177" s="1">
        <v>68330.867245250003</v>
      </c>
      <c r="Y177" s="1">
        <v>72071.694445789995</v>
      </c>
      <c r="Z177" s="1">
        <v>76596.696371149999</v>
      </c>
      <c r="AA177" s="1">
        <v>82688.490000000005</v>
      </c>
      <c r="AB177" s="1">
        <v>85424.43</v>
      </c>
      <c r="AC177" s="1">
        <v>88347.3</v>
      </c>
    </row>
    <row r="178" spans="1:29">
      <c r="A178" s="1">
        <f>VLOOKUP(B178,Legend!$C$32:$D$66,2,FALSE)</f>
        <v>17</v>
      </c>
      <c r="B178" s="1" t="s">
        <v>6</v>
      </c>
      <c r="C178" s="1" t="s">
        <v>85</v>
      </c>
      <c r="D178" s="1">
        <v>607.88576017394905</v>
      </c>
      <c r="E178" s="1">
        <v>597.29714031821095</v>
      </c>
      <c r="F178" s="1">
        <v>624.28976314281795</v>
      </c>
      <c r="G178" s="1">
        <v>650.17926793706101</v>
      </c>
      <c r="H178" s="1">
        <v>694.92308600537399</v>
      </c>
      <c r="I178" s="1">
        <v>744.75055222667504</v>
      </c>
      <c r="J178" s="1">
        <v>793.62629773912795</v>
      </c>
      <c r="K178" s="1">
        <v>929.62932573190994</v>
      </c>
      <c r="L178" s="1">
        <v>971.63459138016003</v>
      </c>
      <c r="M178" s="1">
        <v>1080.1020505961901</v>
      </c>
      <c r="N178" s="1">
        <v>1202.18316987</v>
      </c>
      <c r="O178" s="1">
        <v>1245.5616402799999</v>
      </c>
      <c r="P178" s="1">
        <v>1330.6997461399999</v>
      </c>
      <c r="Q178" s="1">
        <v>1357.8995528</v>
      </c>
      <c r="R178" s="1">
        <v>1441.9677131799999</v>
      </c>
      <c r="S178" s="1">
        <v>1459.3910825200001</v>
      </c>
      <c r="T178" s="1">
        <v>1472.9327767</v>
      </c>
      <c r="U178" s="1">
        <v>1482.7687375999999</v>
      </c>
      <c r="V178" s="1">
        <v>1523.47178009</v>
      </c>
      <c r="W178" s="1">
        <v>1561.6727896</v>
      </c>
      <c r="X178" s="1">
        <v>1535.0813082300001</v>
      </c>
      <c r="Y178" s="1">
        <v>1634.3962460600001</v>
      </c>
      <c r="Z178" s="1">
        <v>1588.3827329999999</v>
      </c>
      <c r="AA178" s="1">
        <v>1723.28</v>
      </c>
      <c r="AB178" s="1">
        <v>1761.52</v>
      </c>
      <c r="AC178" s="1">
        <v>1688.25</v>
      </c>
    </row>
    <row r="179" spans="1:29">
      <c r="A179" s="1">
        <f>VLOOKUP(B179,Legend!$C$32:$D$66,2,FALSE)</f>
        <v>18</v>
      </c>
      <c r="B179" s="1" t="s">
        <v>7</v>
      </c>
      <c r="C179" s="1" t="s">
        <v>85</v>
      </c>
      <c r="D179" s="1">
        <v>7526.1716633364003</v>
      </c>
      <c r="E179" s="1">
        <v>7621.1378614568303</v>
      </c>
      <c r="F179" s="1">
        <v>13056.7699419205</v>
      </c>
      <c r="G179" s="1">
        <v>14177.5611944224</v>
      </c>
      <c r="H179" s="1">
        <v>12754.9881963643</v>
      </c>
      <c r="I179" s="1">
        <v>11174.0059556984</v>
      </c>
      <c r="J179" s="1">
        <v>10606.6735998241</v>
      </c>
      <c r="K179" s="1">
        <v>10286.803685456</v>
      </c>
      <c r="L179" s="1">
        <v>10134.805242549901</v>
      </c>
      <c r="M179" s="1">
        <v>9201.2294790536707</v>
      </c>
      <c r="N179" s="1">
        <v>8890.0790513400007</v>
      </c>
      <c r="O179" s="1">
        <v>9757.0141369600005</v>
      </c>
      <c r="P179" s="1">
        <v>10303.929102640001</v>
      </c>
      <c r="Q179" s="1">
        <v>11485.79888093</v>
      </c>
      <c r="R179" s="1">
        <v>11592.34811511</v>
      </c>
      <c r="S179" s="1">
        <v>12079.30338198</v>
      </c>
      <c r="T179" s="1">
        <v>12606.327662940001</v>
      </c>
      <c r="U179" s="1">
        <v>13412.340158630001</v>
      </c>
      <c r="V179" s="1">
        <v>13684.53506733</v>
      </c>
      <c r="W179" s="1">
        <v>14053.72323</v>
      </c>
      <c r="X179" s="1">
        <v>13530.958730660001</v>
      </c>
      <c r="Y179" s="1">
        <v>12796.976317049999</v>
      </c>
      <c r="Z179" s="1">
        <v>12319.253451910001</v>
      </c>
      <c r="AA179" s="1">
        <v>12684.06</v>
      </c>
      <c r="AB179" s="1">
        <v>13300.91</v>
      </c>
      <c r="AC179" s="1">
        <v>13144.83</v>
      </c>
    </row>
    <row r="180" spans="1:29">
      <c r="A180" s="1">
        <f>VLOOKUP(B180,Legend!$C$32:$D$66,2,FALSE)</f>
        <v>19</v>
      </c>
      <c r="B180" s="1" t="s">
        <v>28</v>
      </c>
      <c r="C180" s="1" t="s">
        <v>85</v>
      </c>
      <c r="D180" s="1">
        <v>3430.0714794148898</v>
      </c>
      <c r="E180" s="1">
        <v>3550.5867376794799</v>
      </c>
      <c r="F180" s="1">
        <v>4085.4722703433199</v>
      </c>
      <c r="G180" s="1">
        <v>6460.2510156224798</v>
      </c>
      <c r="H180" s="1">
        <v>6265.4344254571597</v>
      </c>
      <c r="I180" s="1">
        <v>6017.9688468109098</v>
      </c>
      <c r="J180" s="1">
        <v>5999.6955812882798</v>
      </c>
      <c r="K180" s="1">
        <v>5990.5442221900603</v>
      </c>
      <c r="L180" s="1">
        <v>5942.2354055768901</v>
      </c>
      <c r="M180" s="1">
        <v>6028.8240367457502</v>
      </c>
      <c r="N180" s="1">
        <v>6077.43919895</v>
      </c>
      <c r="O180" s="1">
        <v>6263.5601932999998</v>
      </c>
      <c r="P180" s="1">
        <v>6270.0791160999997</v>
      </c>
      <c r="Q180" s="1">
        <v>6230.2367175500003</v>
      </c>
      <c r="R180" s="1">
        <v>6354.0520995699999</v>
      </c>
      <c r="S180" s="1">
        <v>6458.0896536600003</v>
      </c>
      <c r="T180" s="1">
        <v>6490.5629825699998</v>
      </c>
      <c r="U180" s="1">
        <v>6634.7517070000004</v>
      </c>
      <c r="V180" s="1">
        <v>6571.4734827499997</v>
      </c>
      <c r="W180" s="1">
        <v>6632.6657575600002</v>
      </c>
      <c r="X180" s="1">
        <v>6035.9985346800004</v>
      </c>
      <c r="Y180" s="1">
        <v>6450.6770879799997</v>
      </c>
      <c r="Z180" s="1">
        <v>6483.7292287500004</v>
      </c>
      <c r="AA180" s="1">
        <v>6406.13</v>
      </c>
      <c r="AB180" s="1">
        <v>6149.52</v>
      </c>
      <c r="AC180" s="1">
        <v>6559.52</v>
      </c>
    </row>
    <row r="181" spans="1:29">
      <c r="A181" s="1">
        <f>VLOOKUP(B181,Legend!$C$32:$D$66,2,FALSE)</f>
        <v>21</v>
      </c>
      <c r="B181" s="1" t="s">
        <v>29</v>
      </c>
      <c r="C181" s="1" t="s">
        <v>85</v>
      </c>
      <c r="G181" s="1">
        <v>20782.579126204499</v>
      </c>
      <c r="H181" s="1">
        <v>19858.515492704199</v>
      </c>
      <c r="I181" s="1">
        <v>19803.139482054099</v>
      </c>
      <c r="J181" s="1">
        <v>20145.9433575068</v>
      </c>
      <c r="K181" s="1">
        <v>19959.660124611</v>
      </c>
      <c r="L181" s="1">
        <v>19419.688446990898</v>
      </c>
      <c r="M181" s="1">
        <v>19632.8331686813</v>
      </c>
      <c r="N181" s="1">
        <v>19854.861332320001</v>
      </c>
      <c r="O181" s="1">
        <v>20380.232247780001</v>
      </c>
      <c r="P181" s="1">
        <v>21413.423151409999</v>
      </c>
      <c r="Q181" s="1">
        <v>22111.055655200002</v>
      </c>
      <c r="R181" s="1">
        <v>23270.77690845</v>
      </c>
      <c r="S181" s="1">
        <v>25417.32660357</v>
      </c>
      <c r="T181" s="1">
        <v>26883.18909131</v>
      </c>
      <c r="U181" s="1">
        <v>25648.8268231</v>
      </c>
      <c r="V181" s="1">
        <v>25995.357851159999</v>
      </c>
      <c r="W181" s="1">
        <v>26019.453450680001</v>
      </c>
      <c r="X181" s="1">
        <v>24933.54686862</v>
      </c>
      <c r="Y181" s="1">
        <v>24748.824449629999</v>
      </c>
      <c r="Z181" s="1">
        <v>23015.612204329998</v>
      </c>
      <c r="AA181" s="1">
        <v>22406.26</v>
      </c>
      <c r="AB181" s="1">
        <v>20651</v>
      </c>
      <c r="AC181" s="1">
        <v>23956.26</v>
      </c>
    </row>
    <row r="182" spans="1:29">
      <c r="A182" s="1">
        <f>VLOOKUP(B182,Legend!$C$32:$D$66,2,FALSE)</f>
        <v>31</v>
      </c>
      <c r="B182" s="1" t="s">
        <v>8</v>
      </c>
      <c r="C182" s="1" t="s">
        <v>85</v>
      </c>
      <c r="D182" s="1">
        <v>3937.5240214451101</v>
      </c>
      <c r="E182" s="1">
        <v>3897.6135517294301</v>
      </c>
      <c r="F182" s="1">
        <v>3770.7862562700102</v>
      </c>
      <c r="G182" s="1">
        <v>3239.8472049106999</v>
      </c>
      <c r="H182" s="1">
        <v>3019.3510852643599</v>
      </c>
      <c r="I182" s="1">
        <v>2800.6880252469</v>
      </c>
      <c r="J182" s="1">
        <v>2852.9209142889599</v>
      </c>
      <c r="K182" s="1">
        <v>2866.0151648196002</v>
      </c>
      <c r="L182" s="1">
        <v>2868.0213755221398</v>
      </c>
      <c r="M182" s="1">
        <v>2861.9985305970099</v>
      </c>
      <c r="N182" s="1">
        <v>2903.9279302800001</v>
      </c>
      <c r="O182" s="1">
        <v>3029.3310478899998</v>
      </c>
      <c r="P182" s="1">
        <v>3009.2600788499999</v>
      </c>
      <c r="Q182" s="1">
        <v>3002.7868204500001</v>
      </c>
      <c r="R182" s="1">
        <v>2976.9693369199999</v>
      </c>
      <c r="S182" s="1">
        <v>2956.1581873800001</v>
      </c>
      <c r="T182" s="1">
        <v>2911.7868916900002</v>
      </c>
      <c r="U182" s="1">
        <v>2916.30564964</v>
      </c>
      <c r="V182" s="1">
        <v>2945.33068043</v>
      </c>
      <c r="W182" s="1">
        <v>2827.31954524</v>
      </c>
      <c r="X182" s="1">
        <v>2645.4009210099998</v>
      </c>
      <c r="Y182" s="1">
        <v>2538.0277161700001</v>
      </c>
      <c r="Z182" s="1">
        <v>2400.3078224800001</v>
      </c>
      <c r="AA182" s="1">
        <v>2094.15</v>
      </c>
      <c r="AB182" s="1">
        <v>1984.75</v>
      </c>
      <c r="AC182" s="1">
        <v>1830.18</v>
      </c>
    </row>
    <row r="183" spans="1:29">
      <c r="A183" s="1">
        <f>VLOOKUP(B183,Legend!$C$32:$D$66,2,FALSE)</f>
        <v>32</v>
      </c>
      <c r="B183" s="1" t="s">
        <v>21</v>
      </c>
      <c r="C183" s="1" t="s">
        <v>85</v>
      </c>
      <c r="D183" s="1">
        <v>70825.303686016006</v>
      </c>
      <c r="E183" s="1">
        <v>34496.307705885003</v>
      </c>
      <c r="F183" s="1">
        <v>32285.923130538398</v>
      </c>
      <c r="G183" s="1">
        <v>33225.234808205299</v>
      </c>
      <c r="H183" s="1">
        <v>31097.6628512877</v>
      </c>
      <c r="I183" s="1">
        <v>28829.459131459502</v>
      </c>
      <c r="J183" s="1">
        <v>28179.836658957702</v>
      </c>
      <c r="K183" s="1">
        <v>26946.585503250401</v>
      </c>
      <c r="L183" s="1">
        <v>27647.8328391945</v>
      </c>
      <c r="M183" s="1">
        <v>29964.4171973843</v>
      </c>
      <c r="N183" s="1">
        <v>30126.93167514</v>
      </c>
      <c r="O183" s="1">
        <v>29105.485798000002</v>
      </c>
      <c r="P183" s="1">
        <v>27213.582306830001</v>
      </c>
      <c r="Q183" s="1">
        <v>26872.467194199999</v>
      </c>
      <c r="R183" s="1">
        <v>27291.421363239999</v>
      </c>
      <c r="S183" s="1">
        <v>27403.82015258</v>
      </c>
      <c r="T183" s="1">
        <v>27138.684600320001</v>
      </c>
      <c r="U183" s="1">
        <v>26589.926881930001</v>
      </c>
      <c r="V183" s="1">
        <v>25491.225868820002</v>
      </c>
      <c r="W183" s="1">
        <v>24791.421114910001</v>
      </c>
      <c r="X183" s="1">
        <v>23771.256402930001</v>
      </c>
      <c r="Y183" s="1">
        <v>23966.19726275</v>
      </c>
      <c r="Z183" s="1">
        <v>23880.32240411</v>
      </c>
      <c r="AA183" s="1">
        <v>23842.080000000002</v>
      </c>
      <c r="AB183" s="1">
        <v>23842.6</v>
      </c>
      <c r="AC183" s="1">
        <v>23723.09</v>
      </c>
    </row>
    <row r="184" spans="1:29">
      <c r="A184" s="1">
        <f>VLOOKUP(B184,Legend!$C$32:$D$66,2,FALSE)</f>
        <v>33</v>
      </c>
      <c r="B184" s="1" t="s">
        <v>22</v>
      </c>
      <c r="C184" s="1" t="s">
        <v>85</v>
      </c>
      <c r="D184" s="1">
        <v>7022.30500788259</v>
      </c>
      <c r="E184" s="1">
        <v>7596.9444219631796</v>
      </c>
      <c r="F184" s="1">
        <v>7834.8649094064504</v>
      </c>
      <c r="G184" s="1">
        <v>8266.9572504256594</v>
      </c>
      <c r="H184" s="1">
        <v>8492.8998835674993</v>
      </c>
      <c r="I184" s="1">
        <v>9280.8911497682293</v>
      </c>
      <c r="J184" s="1">
        <v>10710.8983294791</v>
      </c>
      <c r="K184" s="1">
        <v>11378.372190054301</v>
      </c>
      <c r="L184" s="1">
        <v>11814.2801849849</v>
      </c>
      <c r="M184" s="1">
        <v>12463.183897614999</v>
      </c>
      <c r="N184" s="1">
        <v>13346.392634170001</v>
      </c>
      <c r="O184" s="1">
        <v>13054.134233549999</v>
      </c>
      <c r="P184" s="1">
        <v>13745.874304249999</v>
      </c>
      <c r="Q184" s="1">
        <v>14594.164049999999</v>
      </c>
      <c r="R184" s="1">
        <v>15566.64884</v>
      </c>
      <c r="S184" s="1">
        <v>16278.164849999999</v>
      </c>
      <c r="T184" s="1">
        <v>19367.59722</v>
      </c>
      <c r="U184" s="1">
        <v>20356.48314</v>
      </c>
      <c r="V184" s="1">
        <v>20855.981919999998</v>
      </c>
      <c r="W184" s="1">
        <v>21557.115269999998</v>
      </c>
      <c r="X184" s="1">
        <v>21385.267520000001</v>
      </c>
      <c r="Y184" s="1">
        <v>22326.160090000001</v>
      </c>
      <c r="Z184" s="1">
        <v>20942.664130000001</v>
      </c>
      <c r="AA184" s="1">
        <v>21232.09</v>
      </c>
      <c r="AB184" s="1">
        <v>21833.06</v>
      </c>
      <c r="AC184" s="1">
        <v>22315.22</v>
      </c>
    </row>
    <row r="185" spans="1:29">
      <c r="A185" s="1">
        <f>VLOOKUP(B185,Legend!$C$32:$D$66,2,FALSE)</f>
        <v>34</v>
      </c>
      <c r="B185" s="1" t="s">
        <v>9</v>
      </c>
      <c r="C185" s="1" t="s">
        <v>85</v>
      </c>
      <c r="D185" s="1">
        <v>341.102536125786</v>
      </c>
      <c r="E185" s="1">
        <v>343.254314223081</v>
      </c>
      <c r="F185" s="1">
        <v>343.80806611634699</v>
      </c>
      <c r="G185" s="1">
        <v>347.04546757955899</v>
      </c>
      <c r="H185" s="1">
        <v>349.97314340755503</v>
      </c>
      <c r="I185" s="1">
        <v>355.46774417122998</v>
      </c>
      <c r="J185" s="1">
        <v>366.52450476620999</v>
      </c>
      <c r="K185" s="1">
        <v>402.03556469970499</v>
      </c>
      <c r="L185" s="1">
        <v>401.949522052323</v>
      </c>
      <c r="M185" s="1">
        <v>403.16977596590999</v>
      </c>
      <c r="N185" s="1">
        <v>406.71100000000001</v>
      </c>
      <c r="O185" s="1">
        <v>436.32870085000002</v>
      </c>
      <c r="P185" s="1">
        <v>443.62691601</v>
      </c>
      <c r="Q185" s="1">
        <v>461.01383544999999</v>
      </c>
      <c r="R185" s="1">
        <v>470.73463634000001</v>
      </c>
      <c r="S185" s="1">
        <v>471.32324746</v>
      </c>
      <c r="T185" s="1">
        <v>473.29867445000002</v>
      </c>
      <c r="U185" s="1">
        <v>489.34923981999998</v>
      </c>
      <c r="V185" s="1">
        <v>541.18362342</v>
      </c>
      <c r="W185" s="1">
        <v>557.65348195000001</v>
      </c>
      <c r="X185" s="1">
        <v>508.37601563999999</v>
      </c>
      <c r="Y185" s="1">
        <v>492.58323237000002</v>
      </c>
      <c r="Z185" s="1">
        <v>501.03183236000001</v>
      </c>
      <c r="AA185" s="1">
        <v>517.33000000000004</v>
      </c>
      <c r="AB185" s="1">
        <v>557.4</v>
      </c>
      <c r="AC185" s="1">
        <v>591.98</v>
      </c>
    </row>
    <row r="186" spans="1:29">
      <c r="A186" s="1">
        <f>VLOOKUP(B186,Legend!$C$32:$D$66,2,FALSE)</f>
        <v>35</v>
      </c>
      <c r="B186" s="1" t="s">
        <v>23</v>
      </c>
      <c r="C186" s="1" t="s">
        <v>85</v>
      </c>
      <c r="D186" s="1">
        <v>29138.089289169398</v>
      </c>
      <c r="E186" s="1">
        <v>29918.808558312401</v>
      </c>
      <c r="F186" s="1">
        <v>30745.7479117039</v>
      </c>
      <c r="G186" s="1">
        <v>31425.6168843218</v>
      </c>
      <c r="H186" s="1">
        <v>32005.143152786801</v>
      </c>
      <c r="I186" s="1">
        <v>34987.884623067497</v>
      </c>
      <c r="J186" s="1">
        <v>38363.649038425101</v>
      </c>
      <c r="K186" s="1">
        <v>42333.145971598802</v>
      </c>
      <c r="L186" s="1">
        <v>46275.1660013894</v>
      </c>
      <c r="M186" s="1">
        <v>49476.619846541602</v>
      </c>
      <c r="N186" s="1">
        <v>54020.529109000003</v>
      </c>
      <c r="O186" s="1">
        <v>58140.328918719999</v>
      </c>
      <c r="P186" s="1">
        <v>58287.946866259997</v>
      </c>
      <c r="Q186" s="1">
        <v>59049.990546000001</v>
      </c>
      <c r="R186" s="1">
        <v>60862.347294469997</v>
      </c>
      <c r="S186" s="1">
        <v>65707.007299999997</v>
      </c>
      <c r="T186" s="1">
        <v>75024.885200000004</v>
      </c>
      <c r="U186" s="1">
        <v>80636.383799999996</v>
      </c>
      <c r="V186" s="1">
        <v>82573.559416649994</v>
      </c>
      <c r="W186" s="1">
        <v>83847.017970800007</v>
      </c>
      <c r="X186" s="1">
        <v>80897.967955579996</v>
      </c>
      <c r="Y186" s="1">
        <v>77270.042435230003</v>
      </c>
      <c r="Z186" s="1">
        <v>71865.196690979996</v>
      </c>
      <c r="AA186" s="1">
        <v>73057.78</v>
      </c>
      <c r="AB186" s="1">
        <v>72582.559999999998</v>
      </c>
      <c r="AC186" s="1">
        <v>73673.06</v>
      </c>
    </row>
    <row r="187" spans="1:29">
      <c r="A187" s="1">
        <f>VLOOKUP(B187,Legend!$C$32:$D$66,2,FALSE)</f>
        <v>36</v>
      </c>
      <c r="B187" s="1" t="s">
        <v>10</v>
      </c>
      <c r="C187" s="1" t="s">
        <v>85</v>
      </c>
      <c r="D187" s="1">
        <v>1194.2913940373601</v>
      </c>
      <c r="E187" s="1">
        <v>1370.23165454182</v>
      </c>
      <c r="F187" s="1">
        <v>1401.6528444517</v>
      </c>
      <c r="G187" s="1">
        <v>1478.68853096981</v>
      </c>
      <c r="H187" s="1">
        <v>1548.85239829787</v>
      </c>
      <c r="I187" s="1">
        <v>1623.5715535710699</v>
      </c>
      <c r="J187" s="1">
        <v>1684.47614227024</v>
      </c>
      <c r="K187" s="1">
        <v>1897.61040360888</v>
      </c>
      <c r="L187" s="1">
        <v>2167.58530666151</v>
      </c>
      <c r="M187" s="1">
        <v>2460.6385228455501</v>
      </c>
      <c r="N187" s="1">
        <v>2614.1253684200001</v>
      </c>
      <c r="O187" s="1">
        <v>2746.9577443600001</v>
      </c>
      <c r="P187" s="1">
        <v>2745.7363924900001</v>
      </c>
      <c r="Q187" s="1">
        <v>2575.23473466</v>
      </c>
      <c r="R187" s="1">
        <v>2677.2816580899998</v>
      </c>
      <c r="S187" s="1">
        <v>2775.24877272</v>
      </c>
      <c r="T187" s="1">
        <v>2870.48428552</v>
      </c>
      <c r="U187" s="1">
        <v>2850.8455429400001</v>
      </c>
      <c r="V187" s="1">
        <v>2871.4595963000002</v>
      </c>
      <c r="W187" s="1">
        <v>2881.6609200500002</v>
      </c>
      <c r="X187" s="1">
        <v>2640.6305754199998</v>
      </c>
      <c r="Y187" s="1">
        <v>2656.6222589700001</v>
      </c>
      <c r="Z187" s="1">
        <v>2208.4756513299999</v>
      </c>
      <c r="AA187" s="1">
        <v>1844.63</v>
      </c>
      <c r="AB187" s="1">
        <v>1713.75</v>
      </c>
      <c r="AC187" s="1">
        <v>1728.33</v>
      </c>
    </row>
    <row r="188" spans="1:29">
      <c r="A188" s="1">
        <f>VLOOKUP(B188,Legend!$C$32:$D$66,2,FALSE)</f>
        <v>51</v>
      </c>
      <c r="B188" s="1" t="s">
        <v>11</v>
      </c>
      <c r="C188" s="1" t="s">
        <v>85</v>
      </c>
      <c r="D188" s="1">
        <v>690.52851619075295</v>
      </c>
      <c r="E188" s="1">
        <v>699.22968941649594</v>
      </c>
      <c r="F188" s="1">
        <v>713.21396466326098</v>
      </c>
      <c r="G188" s="1">
        <v>743.02651020931296</v>
      </c>
      <c r="H188" s="1">
        <v>775.57100044792605</v>
      </c>
      <c r="I188" s="1">
        <v>806.39067826134703</v>
      </c>
      <c r="J188" s="1">
        <v>826.83287288487895</v>
      </c>
      <c r="K188" s="1">
        <v>843.84582871721295</v>
      </c>
      <c r="L188" s="1">
        <v>901.92794894050201</v>
      </c>
      <c r="M188" s="1">
        <v>949.44455569582306</v>
      </c>
      <c r="N188" s="1">
        <v>1133.91500316</v>
      </c>
      <c r="O188" s="1">
        <v>1252.2430102400001</v>
      </c>
      <c r="P188" s="1">
        <v>1444.1223357900001</v>
      </c>
      <c r="Q188" s="1">
        <v>1555.3599076099999</v>
      </c>
      <c r="R188" s="1">
        <v>1546.1054110099999</v>
      </c>
      <c r="S188" s="1">
        <v>1440.5635620200001</v>
      </c>
      <c r="T188" s="1">
        <v>1502.26891916</v>
      </c>
      <c r="U188" s="1">
        <v>1480.66867748</v>
      </c>
      <c r="V188" s="1">
        <v>1441.4108897999999</v>
      </c>
      <c r="W188" s="1">
        <v>1423.7378504200001</v>
      </c>
      <c r="X188" s="1">
        <v>1362.7710408999999</v>
      </c>
      <c r="Y188" s="1">
        <v>1363.73843448</v>
      </c>
      <c r="Z188" s="1">
        <v>1426.4118802</v>
      </c>
      <c r="AA188" s="1">
        <v>1447.48</v>
      </c>
      <c r="AB188" s="1">
        <v>1467.16</v>
      </c>
      <c r="AC188" s="1">
        <v>1477.51</v>
      </c>
    </row>
    <row r="189" spans="1:29">
      <c r="A189" s="1">
        <f>VLOOKUP(B189,Legend!$C$32:$D$66,2,FALSE)</f>
        <v>52</v>
      </c>
      <c r="B189" s="1" t="s">
        <v>31</v>
      </c>
      <c r="C189" s="1" t="s">
        <v>85</v>
      </c>
      <c r="D189" s="1">
        <v>11919.625340732</v>
      </c>
      <c r="E189" s="1">
        <v>14389.8231682076</v>
      </c>
      <c r="F189" s="1">
        <v>14892.4182280357</v>
      </c>
      <c r="G189" s="1">
        <v>14931.163320778</v>
      </c>
      <c r="H189" s="1">
        <v>16255.1623336421</v>
      </c>
      <c r="I189" s="1">
        <v>15635.079771958801</v>
      </c>
      <c r="J189" s="1">
        <v>15184.4117604695</v>
      </c>
      <c r="K189" s="1">
        <v>15603.3784166557</v>
      </c>
      <c r="L189" s="1">
        <v>14185.675043724699</v>
      </c>
      <c r="M189" s="1">
        <v>18258.465731197499</v>
      </c>
      <c r="N189" s="1">
        <v>20471.115440000001</v>
      </c>
      <c r="O189" s="1">
        <v>14709.393087009999</v>
      </c>
      <c r="P189" s="1">
        <v>10788.742057470001</v>
      </c>
      <c r="Q189" s="1">
        <v>11254.50321232</v>
      </c>
      <c r="R189" s="1">
        <v>11238.697883979999</v>
      </c>
      <c r="S189" s="1">
        <v>23174.73375621</v>
      </c>
      <c r="T189" s="1">
        <v>24500.906514769998</v>
      </c>
      <c r="U189" s="1">
        <v>19635.136640929999</v>
      </c>
      <c r="V189" s="1">
        <v>12984.40080098</v>
      </c>
      <c r="W189" s="1">
        <v>13008.31836385</v>
      </c>
      <c r="X189" s="1">
        <v>16606.139722690001</v>
      </c>
      <c r="Y189" s="1">
        <v>16580.668696190001</v>
      </c>
      <c r="Z189" s="1">
        <v>20331.776988580001</v>
      </c>
      <c r="AA189" s="1">
        <v>18218.419999999998</v>
      </c>
      <c r="AB189" s="1">
        <v>20342.79</v>
      </c>
      <c r="AC189" s="1">
        <v>16263.71</v>
      </c>
    </row>
    <row r="190" spans="1:29">
      <c r="A190" s="1">
        <f>VLOOKUP(B190,Legend!$C$32:$D$66,2,FALSE)</f>
        <v>53</v>
      </c>
      <c r="B190" s="1" t="s">
        <v>32</v>
      </c>
      <c r="C190" s="1" t="s">
        <v>85</v>
      </c>
      <c r="D190" s="1">
        <v>454.82494982246999</v>
      </c>
      <c r="E190" s="1">
        <v>459.98264766072299</v>
      </c>
      <c r="F190" s="1">
        <v>471.48222685871298</v>
      </c>
      <c r="G190" s="1">
        <v>482.94888110220501</v>
      </c>
      <c r="H190" s="1">
        <v>487.40824288523498</v>
      </c>
      <c r="I190" s="1">
        <v>501.009296323478</v>
      </c>
      <c r="J190" s="1">
        <v>511.748925950944</v>
      </c>
      <c r="K190" s="1">
        <v>530.42551014206595</v>
      </c>
      <c r="L190" s="1">
        <v>552.22452198783299</v>
      </c>
      <c r="M190" s="1">
        <v>572.79696987553905</v>
      </c>
      <c r="N190" s="1">
        <v>629.94788979999998</v>
      </c>
      <c r="O190" s="1">
        <v>664.14365239999995</v>
      </c>
      <c r="P190" s="1">
        <v>705.17929271000003</v>
      </c>
      <c r="Q190" s="1">
        <v>740.63906725000004</v>
      </c>
      <c r="R190" s="1">
        <v>794.58835299999998</v>
      </c>
      <c r="S190" s="1">
        <v>832.95450126000003</v>
      </c>
      <c r="T190" s="1">
        <v>877.78784484000005</v>
      </c>
      <c r="U190" s="1">
        <v>891.26076665999994</v>
      </c>
      <c r="V190" s="1">
        <v>908.52016737999998</v>
      </c>
      <c r="W190" s="1">
        <v>938.70747117999997</v>
      </c>
      <c r="X190" s="1">
        <v>813.60528859999999</v>
      </c>
      <c r="Y190" s="1">
        <v>829.02930135999998</v>
      </c>
      <c r="Z190" s="1">
        <v>846.47668246000001</v>
      </c>
      <c r="AA190" s="1">
        <v>877.38</v>
      </c>
      <c r="AB190" s="1">
        <v>921.1</v>
      </c>
      <c r="AC190" s="1">
        <v>915.95</v>
      </c>
    </row>
    <row r="191" spans="1:29">
      <c r="A191" s="1">
        <f>VLOOKUP(B191,Legend!$C$32:$D$66,2,FALSE)</f>
        <v>61</v>
      </c>
      <c r="B191" s="1" t="s">
        <v>24</v>
      </c>
      <c r="C191" s="1" t="s">
        <v>85</v>
      </c>
      <c r="D191" s="1">
        <v>1868.3677627642601</v>
      </c>
      <c r="E191" s="1">
        <v>1918.14180866894</v>
      </c>
      <c r="F191" s="1">
        <v>1972.25605156854</v>
      </c>
      <c r="G191" s="1">
        <v>1979.1534948810599</v>
      </c>
      <c r="H191" s="1">
        <v>1996.89788090146</v>
      </c>
      <c r="I191" s="1">
        <v>2109.88669488302</v>
      </c>
      <c r="J191" s="1">
        <v>2751.0790657566899</v>
      </c>
      <c r="K191" s="1">
        <v>3037.1723423871599</v>
      </c>
      <c r="L191" s="1">
        <v>3348.4001392483401</v>
      </c>
      <c r="M191" s="1">
        <v>3650.9160045479698</v>
      </c>
      <c r="N191" s="1">
        <v>3977.9594643199998</v>
      </c>
      <c r="O191" s="1">
        <v>4411.7331625400002</v>
      </c>
      <c r="P191" s="1">
        <v>4590.7255440999998</v>
      </c>
      <c r="Q191" s="1">
        <v>4590.0676467100002</v>
      </c>
      <c r="R191" s="1">
        <v>4594.85096419</v>
      </c>
      <c r="S191" s="1">
        <v>4622.3827356199999</v>
      </c>
      <c r="T191" s="1">
        <v>5616.90098468</v>
      </c>
      <c r="U191" s="1">
        <v>5716.7260697499996</v>
      </c>
      <c r="V191" s="1">
        <v>6241.0379787700003</v>
      </c>
      <c r="W191" s="1">
        <v>6671.8335436500001</v>
      </c>
      <c r="X191" s="1">
        <v>7926.2976010299999</v>
      </c>
      <c r="Y191" s="1">
        <v>8136.1191478600003</v>
      </c>
      <c r="Z191" s="1">
        <v>8333.8805885799993</v>
      </c>
      <c r="AA191" s="1">
        <v>7022.01</v>
      </c>
      <c r="AB191" s="1">
        <v>7167.78</v>
      </c>
      <c r="AC191" s="1">
        <v>9424.5400000000009</v>
      </c>
    </row>
    <row r="192" spans="1:29">
      <c r="A192" s="1">
        <f>VLOOKUP(B192,Legend!$C$32:$D$66,2,FALSE)</f>
        <v>62</v>
      </c>
      <c r="B192" s="1" t="s">
        <v>26</v>
      </c>
      <c r="C192" s="1" t="s">
        <v>85</v>
      </c>
      <c r="D192" s="1">
        <v>1638.43037251748</v>
      </c>
      <c r="E192" s="1">
        <v>1574.3713373063599</v>
      </c>
      <c r="F192" s="1">
        <v>2730.04080286918</v>
      </c>
      <c r="G192" s="1">
        <v>1855.79605253931</v>
      </c>
      <c r="H192" s="1">
        <v>2488.6484778566801</v>
      </c>
      <c r="I192" s="1">
        <v>4290.0565151934998</v>
      </c>
      <c r="J192" s="1">
        <v>5615.2129957567004</v>
      </c>
      <c r="K192" s="1">
        <v>6331.79655274997</v>
      </c>
      <c r="L192" s="1">
        <v>6755.57725700024</v>
      </c>
      <c r="M192" s="1">
        <v>7529.6338038152799</v>
      </c>
      <c r="N192" s="1">
        <v>8416.6874499999994</v>
      </c>
      <c r="O192" s="1">
        <v>9958.2314594500003</v>
      </c>
      <c r="P192" s="1">
        <v>11060.62082853</v>
      </c>
      <c r="Q192" s="1">
        <v>12819.01399818</v>
      </c>
      <c r="R192" s="1">
        <v>12421.471655400001</v>
      </c>
      <c r="S192" s="1">
        <v>12654.564527410001</v>
      </c>
      <c r="T192" s="1">
        <v>13616.28087307</v>
      </c>
      <c r="U192" s="1">
        <v>14796.619410699999</v>
      </c>
      <c r="V192" s="1">
        <v>14754.12360707</v>
      </c>
      <c r="W192" s="1">
        <v>15518.411706749999</v>
      </c>
      <c r="X192" s="1">
        <v>14290.26323137</v>
      </c>
      <c r="Y192" s="1">
        <v>14399.223866599999</v>
      </c>
      <c r="Z192" s="1">
        <v>16652.847010400001</v>
      </c>
      <c r="AA192" s="1">
        <v>15790.76</v>
      </c>
      <c r="AB192" s="1">
        <v>17178.59</v>
      </c>
      <c r="AC192" s="1">
        <v>17541.849999999999</v>
      </c>
    </row>
    <row r="193" spans="1:29">
      <c r="A193" s="1">
        <f>VLOOKUP(B193,Legend!$C$32:$D$66,2,FALSE)</f>
        <v>63</v>
      </c>
      <c r="B193" s="1" t="s">
        <v>25</v>
      </c>
      <c r="C193" s="1" t="s">
        <v>85</v>
      </c>
      <c r="D193" s="1">
        <v>9802.9889990335905</v>
      </c>
      <c r="E193" s="1">
        <v>10327.0310117847</v>
      </c>
      <c r="F193" s="1">
        <v>14694.045524739</v>
      </c>
      <c r="G193" s="1">
        <v>15825.8501241503</v>
      </c>
      <c r="H193" s="1">
        <v>16188.5581621646</v>
      </c>
      <c r="I193" s="1">
        <v>17497.846562040599</v>
      </c>
      <c r="J193" s="1">
        <v>18804.9445280213</v>
      </c>
      <c r="K193" s="1">
        <v>19754.508858871399</v>
      </c>
      <c r="L193" s="1">
        <v>21247.7362991931</v>
      </c>
      <c r="M193" s="1">
        <v>22015.1299929417</v>
      </c>
      <c r="N193" s="1">
        <v>23681.71849988</v>
      </c>
      <c r="O193" s="1">
        <v>26781.063107490001</v>
      </c>
      <c r="P193" s="1">
        <v>28667.199585869999</v>
      </c>
      <c r="Q193" s="1">
        <v>29824.40537117</v>
      </c>
      <c r="R193" s="1">
        <v>30491.767262279998</v>
      </c>
      <c r="S193" s="1">
        <v>30287.696541249999</v>
      </c>
      <c r="T193" s="1">
        <v>30396.55228833</v>
      </c>
      <c r="U193" s="1">
        <v>31641.061044040001</v>
      </c>
      <c r="V193" s="1">
        <v>32940.944710069998</v>
      </c>
      <c r="W193" s="1">
        <v>33387.575893230001</v>
      </c>
      <c r="X193" s="1">
        <v>31906.406310990002</v>
      </c>
      <c r="Y193" s="1">
        <v>33226.732430290002</v>
      </c>
      <c r="Z193" s="1">
        <v>35093.566889000002</v>
      </c>
      <c r="AA193" s="1">
        <v>36176.089999999997</v>
      </c>
      <c r="AB193" s="1">
        <v>37270.51</v>
      </c>
      <c r="AC193" s="1">
        <v>37259.379999999997</v>
      </c>
    </row>
    <row r="194" spans="1:29">
      <c r="A194" s="1">
        <f>VLOOKUP(B194,Legend!$C$32:$D$66,2,FALSE)</f>
        <v>64</v>
      </c>
      <c r="B194" s="1" t="s">
        <v>27</v>
      </c>
      <c r="C194" s="1" t="s">
        <v>85</v>
      </c>
      <c r="D194" s="1">
        <v>119249.828085784</v>
      </c>
      <c r="E194" s="1">
        <v>126746.286608029</v>
      </c>
      <c r="F194" s="1">
        <v>136412.19650841699</v>
      </c>
      <c r="G194" s="1">
        <v>140599.91412815699</v>
      </c>
      <c r="H194" s="1">
        <v>142408.16452973499</v>
      </c>
      <c r="I194" s="1">
        <v>148963.738220214</v>
      </c>
      <c r="J194" s="1">
        <v>155063.918612029</v>
      </c>
      <c r="K194" s="1">
        <v>159350.40121711401</v>
      </c>
      <c r="L194" s="1">
        <v>168520.560397108</v>
      </c>
      <c r="M194" s="1">
        <v>176502.91034790201</v>
      </c>
      <c r="N194" s="1">
        <v>191160.89300613001</v>
      </c>
      <c r="O194" s="1">
        <v>211507.27417515</v>
      </c>
      <c r="P194" s="1">
        <v>228444.29829087999</v>
      </c>
      <c r="Q194" s="1">
        <v>232661.00721881</v>
      </c>
      <c r="R194" s="1">
        <v>231725.33119922</v>
      </c>
      <c r="S194" s="1">
        <v>220405.12052538001</v>
      </c>
      <c r="T194" s="1">
        <v>212649.62947672</v>
      </c>
      <c r="U194" s="1">
        <v>216447.12362177001</v>
      </c>
      <c r="V194" s="1">
        <v>218686.7217851</v>
      </c>
      <c r="W194" s="1">
        <v>233680.62364308001</v>
      </c>
      <c r="X194" s="1">
        <v>222909.19748649001</v>
      </c>
      <c r="Y194" s="1">
        <v>227988.66603078999</v>
      </c>
      <c r="Z194" s="1">
        <v>235975.24727210999</v>
      </c>
      <c r="AA194" s="1">
        <v>248179.91</v>
      </c>
      <c r="AB194" s="1">
        <v>265126.06</v>
      </c>
      <c r="AC194" s="1">
        <v>264845.37</v>
      </c>
    </row>
    <row r="195" spans="1:29">
      <c r="A195" s="1">
        <f>VLOOKUP(B195,Legend!$C$32:$D$66,2,FALSE)</f>
        <v>65</v>
      </c>
      <c r="B195" s="1" t="s">
        <v>46</v>
      </c>
      <c r="C195" s="1" t="s">
        <v>85</v>
      </c>
      <c r="N195" s="1">
        <v>10589.650401790001</v>
      </c>
      <c r="O195" s="1">
        <v>11444.99282125</v>
      </c>
      <c r="P195" s="1">
        <v>12432.417885139999</v>
      </c>
      <c r="Q195" s="1">
        <v>14004.97120573</v>
      </c>
      <c r="R195" s="1">
        <v>15345.733705930001</v>
      </c>
      <c r="S195" s="1">
        <v>14941.85665835</v>
      </c>
      <c r="T195" s="1">
        <v>14416</v>
      </c>
      <c r="U195" s="1">
        <v>15444</v>
      </c>
      <c r="V195" s="1">
        <v>15987.520539790001</v>
      </c>
      <c r="W195" s="1">
        <v>16802.404168870002</v>
      </c>
      <c r="X195" s="1">
        <v>15664.218763229999</v>
      </c>
      <c r="Y195" s="1">
        <v>16725.770600100001</v>
      </c>
      <c r="Z195" s="1">
        <v>17917.971141120001</v>
      </c>
      <c r="AA195" s="1">
        <v>18561.419999999998</v>
      </c>
      <c r="AB195" s="1">
        <v>18613.77</v>
      </c>
      <c r="AC195" s="1">
        <v>18409.97</v>
      </c>
    </row>
    <row r="196" spans="1:29">
      <c r="A196" s="1">
        <f>VLOOKUP(B196,Legend!$C$32:$D$66,2,FALSE)</f>
        <v>71</v>
      </c>
      <c r="B196" s="1" t="s">
        <v>38</v>
      </c>
      <c r="C196" s="1" t="s">
        <v>85</v>
      </c>
      <c r="D196" s="1">
        <v>3193.46397399535</v>
      </c>
      <c r="E196" s="1">
        <v>2125.8841651635498</v>
      </c>
      <c r="F196" s="1">
        <v>2018.7216925947</v>
      </c>
      <c r="G196" s="1">
        <v>1855.67250378422</v>
      </c>
      <c r="H196" s="1">
        <v>1789.1285547667601</v>
      </c>
      <c r="I196" s="1">
        <v>1776.30762729034</v>
      </c>
      <c r="J196" s="1">
        <v>1861.1909214765301</v>
      </c>
      <c r="K196" s="1">
        <v>2024.13538870608</v>
      </c>
      <c r="L196" s="1">
        <v>2282.2444863350602</v>
      </c>
      <c r="M196" s="1">
        <v>2407.68552909244</v>
      </c>
      <c r="N196" s="1">
        <v>2483.77396</v>
      </c>
      <c r="O196" s="1">
        <v>2687.95326669</v>
      </c>
      <c r="P196" s="1">
        <v>2868.2583</v>
      </c>
      <c r="Q196" s="1">
        <v>3022.9990528899998</v>
      </c>
      <c r="R196" s="1">
        <v>3229.6539118300002</v>
      </c>
      <c r="S196" s="1">
        <v>3503.7552736900002</v>
      </c>
      <c r="T196" s="1">
        <v>3659.3025943399998</v>
      </c>
      <c r="U196" s="1">
        <v>3991.1833434300001</v>
      </c>
      <c r="V196" s="1">
        <v>4344.2246501099999</v>
      </c>
      <c r="W196" s="1">
        <v>4694.0042583300001</v>
      </c>
      <c r="X196" s="1">
        <v>4630.5075436699999</v>
      </c>
      <c r="Y196" s="1">
        <v>4869.17028269</v>
      </c>
      <c r="Z196" s="1">
        <v>4881.6495228399999</v>
      </c>
      <c r="AA196" s="1">
        <v>4908.46</v>
      </c>
      <c r="AB196" s="1">
        <v>5043.43</v>
      </c>
      <c r="AC196" s="1">
        <v>5153.8599999999997</v>
      </c>
    </row>
    <row r="197" spans="1:29">
      <c r="A197" s="1">
        <f>VLOOKUP(B197,Legend!$C$32:$D$66,2,FALSE)</f>
        <v>72</v>
      </c>
      <c r="B197" s="1" t="s">
        <v>36</v>
      </c>
      <c r="C197" s="1" t="s">
        <v>85</v>
      </c>
      <c r="D197" s="1">
        <v>964.86237358096503</v>
      </c>
      <c r="E197" s="1">
        <v>987.24240975858697</v>
      </c>
      <c r="F197" s="1">
        <v>1018.68019868206</v>
      </c>
      <c r="G197" s="1">
        <v>1051.9873072492401</v>
      </c>
      <c r="H197" s="1">
        <v>1090.74165615378</v>
      </c>
      <c r="I197" s="1">
        <v>1368.1516928523899</v>
      </c>
      <c r="J197" s="1">
        <v>1838.40791417222</v>
      </c>
      <c r="K197" s="1">
        <v>2581.4374570013201</v>
      </c>
      <c r="L197" s="1">
        <v>3073.38952256536</v>
      </c>
      <c r="M197" s="1">
        <v>3339.3350178012101</v>
      </c>
      <c r="N197" s="1">
        <v>4458.5556143599997</v>
      </c>
      <c r="O197" s="1">
        <v>5905.4709763000001</v>
      </c>
      <c r="P197" s="1">
        <v>7640.1007518699998</v>
      </c>
      <c r="Q197" s="1">
        <v>9773.0665063600009</v>
      </c>
      <c r="R197" s="1">
        <v>7239.05089512</v>
      </c>
      <c r="S197" s="1">
        <v>9223.1952885299997</v>
      </c>
      <c r="T197" s="1">
        <v>12403.30334217</v>
      </c>
      <c r="U197" s="1">
        <v>14272.08183216</v>
      </c>
      <c r="V197" s="1">
        <v>17552.452880000001</v>
      </c>
      <c r="W197" s="1">
        <v>19971.592509999999</v>
      </c>
      <c r="X197" s="1">
        <v>22040.206330000001</v>
      </c>
      <c r="Y197" s="1">
        <v>24739.3688</v>
      </c>
      <c r="Z197" s="1">
        <v>29820.42007</v>
      </c>
      <c r="AA197" s="1">
        <v>33238.019999999997</v>
      </c>
      <c r="AB197" s="1">
        <v>35296.269999999997</v>
      </c>
      <c r="AC197" s="1">
        <v>37535.040000000001</v>
      </c>
    </row>
    <row r="198" spans="1:29">
      <c r="A198" s="1">
        <f>VLOOKUP(B198,Legend!$C$32:$D$66,2,FALSE)</f>
        <v>73</v>
      </c>
      <c r="B198" s="1" t="s">
        <v>35</v>
      </c>
      <c r="C198" s="1" t="s">
        <v>85</v>
      </c>
      <c r="D198" s="1">
        <v>7867.5918457368398</v>
      </c>
      <c r="E198" s="1">
        <v>8327.0718819896101</v>
      </c>
      <c r="F198" s="1">
        <v>8005.4467771133004</v>
      </c>
      <c r="G198" s="1">
        <v>8890.4453405600198</v>
      </c>
      <c r="H198" s="1">
        <v>9701.1871619105204</v>
      </c>
      <c r="I198" s="1">
        <v>10120.3749600829</v>
      </c>
      <c r="J198" s="1">
        <v>10791.102458326301</v>
      </c>
      <c r="K198" s="1">
        <v>11528.232415605</v>
      </c>
      <c r="L198" s="1">
        <v>11189.3333998246</v>
      </c>
      <c r="M198" s="1">
        <v>10684.2129655467</v>
      </c>
      <c r="N198" s="1">
        <v>12366.18403968</v>
      </c>
      <c r="O198" s="1">
        <v>11896.68342747</v>
      </c>
      <c r="P198" s="1">
        <v>12529.942984269999</v>
      </c>
      <c r="Q198" s="1">
        <v>13241.082086369999</v>
      </c>
      <c r="R198" s="1">
        <v>14712.008447730001</v>
      </c>
      <c r="S198" s="1">
        <v>15802.95188309</v>
      </c>
      <c r="T198" s="1">
        <v>15996.25927223</v>
      </c>
      <c r="U198" s="1">
        <v>16604.135519240001</v>
      </c>
      <c r="V198" s="1">
        <v>16788.76012517</v>
      </c>
      <c r="W198" s="1">
        <v>17237.896228279998</v>
      </c>
      <c r="X198" s="1">
        <v>17330.643739449999</v>
      </c>
      <c r="Y198" s="1">
        <v>17228.08219868</v>
      </c>
      <c r="Z198" s="1">
        <v>17283.685445120002</v>
      </c>
      <c r="AA198" s="1">
        <v>19639.349999999999</v>
      </c>
      <c r="AB198" s="1">
        <v>20128.46</v>
      </c>
      <c r="AC198" s="1">
        <v>21055.08</v>
      </c>
    </row>
    <row r="199" spans="1:29">
      <c r="A199" s="1">
        <f>VLOOKUP(B199,Legend!$C$32:$D$66,2,FALSE)</f>
        <v>74</v>
      </c>
      <c r="B199" s="1" t="s">
        <v>37</v>
      </c>
      <c r="C199" s="1" t="s">
        <v>85</v>
      </c>
      <c r="D199" s="1">
        <v>2802.5718224479401</v>
      </c>
      <c r="E199" s="1">
        <v>2643.5087692638699</v>
      </c>
      <c r="F199" s="1">
        <v>3399.46060089914</v>
      </c>
      <c r="G199" s="1">
        <v>5142.7341959243904</v>
      </c>
      <c r="H199" s="1">
        <v>5176.4172444239202</v>
      </c>
      <c r="I199" s="1">
        <v>5629.2729720407397</v>
      </c>
      <c r="J199" s="1">
        <v>5308.9210698533998</v>
      </c>
      <c r="K199" s="1">
        <v>6574.8100988792803</v>
      </c>
      <c r="L199" s="1">
        <v>6360.5112173798198</v>
      </c>
      <c r="M199" s="1">
        <v>6745.2897890513696</v>
      </c>
      <c r="N199" s="1">
        <v>8296.1020000000008</v>
      </c>
      <c r="O199" s="1">
        <v>10690.6342178</v>
      </c>
      <c r="P199" s="1">
        <v>13833.54884566</v>
      </c>
      <c r="Q199" s="1">
        <v>14861.406761</v>
      </c>
      <c r="R199" s="1">
        <v>14006.98777851</v>
      </c>
      <c r="S199" s="1">
        <v>15389.88778741</v>
      </c>
      <c r="T199" s="1">
        <v>15434.394967759999</v>
      </c>
      <c r="U199" s="1">
        <v>17405.81392456</v>
      </c>
      <c r="V199" s="1">
        <v>18529.897031569999</v>
      </c>
      <c r="W199" s="1">
        <v>19824.349104929999</v>
      </c>
      <c r="X199" s="1">
        <v>18505.197832189999</v>
      </c>
      <c r="Y199" s="1">
        <v>18559.488862089998</v>
      </c>
      <c r="Z199" s="1">
        <v>18838.221922730001</v>
      </c>
      <c r="AA199" s="1">
        <v>20347.03</v>
      </c>
      <c r="AB199" s="1">
        <v>21617.43</v>
      </c>
      <c r="AC199" s="1">
        <v>22995.24</v>
      </c>
    </row>
    <row r="200" spans="1:29">
      <c r="A200" s="1">
        <f>VLOOKUP(B200,Legend!$C$32:$D$66,2,FALSE)</f>
        <v>75</v>
      </c>
      <c r="B200" s="1" t="s">
        <v>12</v>
      </c>
      <c r="C200" s="1" t="s">
        <v>85</v>
      </c>
      <c r="D200" s="1">
        <v>80.574299364964702</v>
      </c>
      <c r="E200" s="1">
        <v>92.516951888235994</v>
      </c>
      <c r="F200" s="1">
        <v>104.62891590011201</v>
      </c>
      <c r="G200" s="1">
        <v>120.78345121791899</v>
      </c>
      <c r="H200" s="1">
        <v>124.841199705915</v>
      </c>
      <c r="I200" s="1">
        <v>136.89216862760401</v>
      </c>
      <c r="J200" s="1">
        <v>152.30295043373499</v>
      </c>
      <c r="K200" s="1">
        <v>170.25774867934899</v>
      </c>
      <c r="L200" s="1">
        <v>187.52612779579599</v>
      </c>
      <c r="M200" s="1">
        <v>214.59952385825599</v>
      </c>
      <c r="N200" s="1">
        <v>237.29660817999999</v>
      </c>
      <c r="O200" s="1">
        <v>253.71398918</v>
      </c>
      <c r="P200" s="1">
        <v>265.97000271000002</v>
      </c>
      <c r="Q200" s="1">
        <v>273.90789747999997</v>
      </c>
      <c r="R200" s="1">
        <v>283.11258978000001</v>
      </c>
      <c r="S200" s="1">
        <v>294.30530570000002</v>
      </c>
      <c r="T200" s="1">
        <v>294.53015868</v>
      </c>
      <c r="U200" s="1">
        <v>308.40830532000001</v>
      </c>
      <c r="V200" s="1">
        <v>318.15075803000002</v>
      </c>
      <c r="W200" s="1">
        <v>333.85714676999999</v>
      </c>
      <c r="X200" s="1">
        <v>332.18107443999997</v>
      </c>
      <c r="Y200" s="1">
        <v>339.34055688000001</v>
      </c>
      <c r="Z200" s="1">
        <v>353.95628725</v>
      </c>
      <c r="AA200" s="1">
        <v>375.69</v>
      </c>
      <c r="AB200" s="1">
        <v>397.59</v>
      </c>
      <c r="AC200" s="1">
        <v>427.14</v>
      </c>
    </row>
    <row r="201" spans="1:29">
      <c r="A201" s="1">
        <f>VLOOKUP(B201,Legend!$C$32:$D$66,2,FALSE)</f>
        <v>76</v>
      </c>
      <c r="B201" s="1" t="s">
        <v>34</v>
      </c>
      <c r="C201" s="1" t="s">
        <v>85</v>
      </c>
      <c r="H201" s="1">
        <v>122.16813337294589</v>
      </c>
      <c r="I201" s="1">
        <v>129.80364170875501</v>
      </c>
      <c r="J201" s="1">
        <v>139.64435100797499</v>
      </c>
      <c r="K201" s="1">
        <v>174.79224059008899</v>
      </c>
      <c r="L201" s="1">
        <v>283.96427706613099</v>
      </c>
      <c r="M201" s="1">
        <v>339.315147603696</v>
      </c>
      <c r="N201" s="1">
        <v>344.61117999999999</v>
      </c>
      <c r="O201" s="1">
        <v>386.42424999999997</v>
      </c>
      <c r="P201" s="1">
        <v>431.90105</v>
      </c>
      <c r="Q201" s="1">
        <v>477.68819999999999</v>
      </c>
      <c r="R201" s="1">
        <v>516.09201976999998</v>
      </c>
      <c r="S201" s="1">
        <v>557.67142549000005</v>
      </c>
      <c r="T201" s="1">
        <v>618.41709409999999</v>
      </c>
      <c r="U201" s="1">
        <v>657.78958149000005</v>
      </c>
      <c r="V201" s="1">
        <v>712.07348619000004</v>
      </c>
      <c r="W201" s="1">
        <v>749.65931525999997</v>
      </c>
      <c r="X201" s="1">
        <v>712.89767577999999</v>
      </c>
      <c r="Y201" s="1">
        <v>777.63553839999997</v>
      </c>
      <c r="Z201" s="1">
        <v>782.13406057999998</v>
      </c>
      <c r="AA201" s="1">
        <v>818.92</v>
      </c>
      <c r="AB201" s="1">
        <v>898.75</v>
      </c>
      <c r="AC201" s="1">
        <v>922.67</v>
      </c>
    </row>
    <row r="202" spans="1:29">
      <c r="A202" s="1">
        <f>VLOOKUP(B202,Legend!$C$32:$D$66,2,FALSE)</f>
        <v>81</v>
      </c>
      <c r="B202" s="1" t="s">
        <v>13</v>
      </c>
      <c r="C202" s="1" t="s">
        <v>85</v>
      </c>
      <c r="D202" s="1">
        <v>409.192830147162</v>
      </c>
      <c r="E202" s="1">
        <v>442.70592294132598</v>
      </c>
      <c r="F202" s="1">
        <v>457.11885576149501</v>
      </c>
      <c r="G202" s="1">
        <v>473.71524804201403</v>
      </c>
      <c r="H202" s="1">
        <v>487.95414922264001</v>
      </c>
      <c r="I202" s="1">
        <v>505.427263394178</v>
      </c>
      <c r="J202" s="1">
        <v>526.34819189007897</v>
      </c>
      <c r="K202" s="1">
        <v>482.52353691886702</v>
      </c>
      <c r="L202" s="1">
        <v>509.556679573574</v>
      </c>
      <c r="M202" s="1">
        <v>533.01315360276897</v>
      </c>
      <c r="N202" s="1">
        <v>579.50566860000004</v>
      </c>
      <c r="O202" s="1">
        <v>654.51041562</v>
      </c>
      <c r="P202" s="1">
        <v>663.46360157000004</v>
      </c>
      <c r="Q202" s="1">
        <v>674.42582752999999</v>
      </c>
      <c r="R202" s="1">
        <v>819.21622815000001</v>
      </c>
      <c r="S202" s="1">
        <v>811.27250285000002</v>
      </c>
      <c r="T202" s="1">
        <v>842.96868372999995</v>
      </c>
      <c r="U202" s="1">
        <v>844.75782408999999</v>
      </c>
      <c r="V202" s="1">
        <v>782.56919803999995</v>
      </c>
      <c r="W202" s="1">
        <v>747.34023603000003</v>
      </c>
      <c r="X202" s="1">
        <v>741.54235226000003</v>
      </c>
      <c r="Y202" s="1">
        <v>724.80686578999996</v>
      </c>
      <c r="Z202" s="1">
        <v>716.90060430999995</v>
      </c>
      <c r="AA202" s="1">
        <v>727.28</v>
      </c>
      <c r="AB202" s="1">
        <v>724.86</v>
      </c>
      <c r="AC202" s="1">
        <v>732.63</v>
      </c>
    </row>
    <row r="203" spans="1:29">
      <c r="A203" s="1">
        <f>VLOOKUP(B203,Legend!$C$32:$D$66,2,FALSE)</f>
        <v>82</v>
      </c>
      <c r="B203" s="1" t="s">
        <v>30</v>
      </c>
      <c r="C203" s="1" t="s">
        <v>85</v>
      </c>
      <c r="D203" s="1">
        <v>1584.34624643849</v>
      </c>
      <c r="E203" s="1">
        <v>1611.52535886336</v>
      </c>
      <c r="F203" s="1">
        <v>1625.0334528478199</v>
      </c>
      <c r="G203" s="1">
        <v>1646.0195059431901</v>
      </c>
      <c r="H203" s="1">
        <v>1680.51558302645</v>
      </c>
      <c r="I203" s="1">
        <v>1714.9145166039</v>
      </c>
      <c r="J203" s="1">
        <v>1759.2404228073001</v>
      </c>
      <c r="K203" s="1">
        <v>2084.3807098224001</v>
      </c>
      <c r="L203" s="1">
        <v>2032.6577068266699</v>
      </c>
      <c r="M203" s="1">
        <v>1884.74554514277</v>
      </c>
      <c r="N203" s="1">
        <v>2032.6577074700001</v>
      </c>
      <c r="O203" s="1">
        <v>2090.98685806</v>
      </c>
      <c r="P203" s="1">
        <v>2156.4497879</v>
      </c>
      <c r="Q203" s="1">
        <v>2216.7469566</v>
      </c>
      <c r="R203" s="1">
        <v>1932.6118620899999</v>
      </c>
      <c r="S203" s="1">
        <v>2055.8370033299998</v>
      </c>
      <c r="T203" s="1">
        <v>2023.5143735900001</v>
      </c>
      <c r="U203" s="1">
        <v>2250.62422513</v>
      </c>
      <c r="V203" s="1">
        <v>2520.0930279999998</v>
      </c>
      <c r="W203" s="1">
        <v>2736.8641027899998</v>
      </c>
      <c r="X203" s="1">
        <v>3008.387111</v>
      </c>
      <c r="Y203" s="1">
        <v>4594.7599730000002</v>
      </c>
      <c r="Z203" s="1">
        <v>6535.6049899999998</v>
      </c>
      <c r="AA203" s="1">
        <v>9892.9699999999993</v>
      </c>
      <c r="AB203" s="1">
        <v>10830.58</v>
      </c>
      <c r="AC203" s="1">
        <v>16600.310000000001</v>
      </c>
    </row>
    <row r="204" spans="1:29">
      <c r="A204" s="1">
        <f>VLOOKUP(B204,Legend!$C$32:$D$66,2,FALSE)</f>
        <v>91</v>
      </c>
      <c r="B204" s="1" t="s">
        <v>33</v>
      </c>
      <c r="C204" s="1" t="s">
        <v>85</v>
      </c>
      <c r="F204" s="1">
        <v>10027.247130251801</v>
      </c>
      <c r="G204" s="1">
        <v>10493.8403684882</v>
      </c>
      <c r="H204" s="1">
        <v>10760.440136548001</v>
      </c>
      <c r="I204" s="1">
        <v>11334.8133820203</v>
      </c>
      <c r="J204" s="1">
        <v>11133.9886146517</v>
      </c>
      <c r="K204" s="1">
        <v>11190.6782658108</v>
      </c>
      <c r="L204" s="1">
        <v>11333.303418577199</v>
      </c>
      <c r="M204" s="1">
        <v>11315.2041747357</v>
      </c>
      <c r="N204" s="1">
        <v>11220.366151849999</v>
      </c>
      <c r="O204" s="1">
        <v>11247.790043909999</v>
      </c>
      <c r="P204" s="1">
        <v>10789.9320622</v>
      </c>
      <c r="Q204" s="1">
        <v>10913.312065829999</v>
      </c>
      <c r="R204" s="1">
        <v>11009.304261740001</v>
      </c>
      <c r="S204" s="1">
        <v>11142.84089548</v>
      </c>
      <c r="T204" s="1">
        <v>11231.17969246</v>
      </c>
      <c r="U204" s="1">
        <v>11078.62281017</v>
      </c>
      <c r="V204" s="1">
        <v>11541.125136639999</v>
      </c>
      <c r="W204" s="1">
        <v>11489.68927904</v>
      </c>
      <c r="X204" s="1">
        <v>11487.647334060001</v>
      </c>
      <c r="Y204" s="1">
        <v>11549.83685123</v>
      </c>
      <c r="Z204" s="1">
        <v>11960.149616410001</v>
      </c>
      <c r="AA204" s="1">
        <v>12537.61</v>
      </c>
      <c r="AB204" s="1">
        <v>15410.470000000001</v>
      </c>
      <c r="AC204" s="1">
        <v>16366.71</v>
      </c>
    </row>
    <row r="205" spans="1:29">
      <c r="A205" s="1">
        <f>VLOOKUP(B205,Legend!$C$32:$D$66,2,FALSE)</f>
        <v>94</v>
      </c>
      <c r="B205" s="1" t="s">
        <v>14</v>
      </c>
      <c r="C205" s="1" t="s">
        <v>85</v>
      </c>
      <c r="D205" s="1">
        <v>85296.917840045498</v>
      </c>
      <c r="E205" s="1">
        <v>93453.217941113006</v>
      </c>
      <c r="F205" s="1">
        <v>90838.701157406307</v>
      </c>
      <c r="G205" s="1">
        <v>87683.037893706394</v>
      </c>
      <c r="H205" s="1">
        <v>55893.188114691002</v>
      </c>
      <c r="I205" s="1">
        <v>90401.087976240902</v>
      </c>
      <c r="J205" s="1">
        <v>62037.296501985198</v>
      </c>
      <c r="K205" s="1">
        <v>62390.294313589402</v>
      </c>
      <c r="L205" s="1">
        <v>54017.901701685099</v>
      </c>
      <c r="M205" s="1">
        <v>72424.731944249696</v>
      </c>
      <c r="N205" s="1">
        <v>59693.872123189998</v>
      </c>
      <c r="O205" s="1">
        <v>50008.938397860002</v>
      </c>
      <c r="P205" s="1">
        <v>46801.234199289996</v>
      </c>
      <c r="Q205" s="1">
        <v>51011.146421919999</v>
      </c>
      <c r="R205" s="1">
        <v>49579.812955759997</v>
      </c>
      <c r="S205" s="1">
        <v>52911.360979279998</v>
      </c>
      <c r="T205" s="1">
        <v>59840.372508820001</v>
      </c>
      <c r="U205" s="1">
        <v>62174.059715130003</v>
      </c>
      <c r="V205" s="1">
        <v>68611.175144499997</v>
      </c>
      <c r="W205" s="1">
        <v>38925.046242659999</v>
      </c>
      <c r="X205" s="1">
        <v>45395.188893289996</v>
      </c>
      <c r="Y205" s="1">
        <v>63915.451754280002</v>
      </c>
      <c r="Z205" s="1">
        <v>148006.00223535998</v>
      </c>
      <c r="AA205" s="1">
        <v>79214.34</v>
      </c>
      <c r="AB205" s="1">
        <v>82727.079999999987</v>
      </c>
      <c r="AC205" s="1">
        <v>59014.749999999993</v>
      </c>
    </row>
    <row r="206" spans="1:29">
      <c r="A206" s="1">
        <f>VLOOKUP(B206,Legend!$C$32:$D$66,2,FALSE)</f>
        <v>11</v>
      </c>
      <c r="B206" s="1" t="s">
        <v>3</v>
      </c>
      <c r="C206" s="1" t="s">
        <v>130</v>
      </c>
      <c r="D206" s="1">
        <v>110073.10063044399</v>
      </c>
      <c r="E206" s="1">
        <v>108170.82024483501</v>
      </c>
      <c r="F206" s="1">
        <v>129876.076830993</v>
      </c>
      <c r="G206" s="1">
        <v>137049.26333627</v>
      </c>
      <c r="H206" s="1">
        <v>123849.977273078</v>
      </c>
      <c r="I206" s="1">
        <v>111314.857606581</v>
      </c>
      <c r="J206" s="1">
        <v>113050.945699808</v>
      </c>
      <c r="K206" s="1">
        <v>110379.794331517</v>
      </c>
      <c r="L206" s="1">
        <v>104597.168095471</v>
      </c>
      <c r="M206" s="1">
        <v>98833.536625356195</v>
      </c>
      <c r="N206" s="1">
        <v>101545.23682721</v>
      </c>
      <c r="O206" s="1">
        <v>104874.21115893</v>
      </c>
      <c r="P206" s="1">
        <v>108914.89762103</v>
      </c>
      <c r="Q206" s="1">
        <v>111755.82655862</v>
      </c>
      <c r="R206" s="1">
        <v>113490.35926128</v>
      </c>
      <c r="S206" s="1">
        <v>112665.53226656999</v>
      </c>
      <c r="T206" s="1">
        <v>116374.29988517</v>
      </c>
      <c r="U206" s="1">
        <v>121240.97871788</v>
      </c>
      <c r="V206" s="1">
        <v>126824.36523638001</v>
      </c>
      <c r="W206" s="1">
        <v>132069.62079771</v>
      </c>
      <c r="X206" s="1">
        <v>131580.96715754</v>
      </c>
      <c r="Y206" s="1">
        <v>135274.03929591001</v>
      </c>
      <c r="Z206" s="1">
        <v>140971.71536716999</v>
      </c>
      <c r="AA206" s="1">
        <v>146932.5</v>
      </c>
      <c r="AB206" s="1">
        <v>153780.49</v>
      </c>
      <c r="AC206" s="1">
        <v>158340.38</v>
      </c>
    </row>
    <row r="207" spans="1:29">
      <c r="A207" s="1">
        <f>VLOOKUP(B207,Legend!$C$32:$D$66,2,FALSE)</f>
        <v>12</v>
      </c>
      <c r="B207" s="1" t="s">
        <v>41</v>
      </c>
      <c r="C207" s="1" t="s">
        <v>130</v>
      </c>
      <c r="D207" s="1">
        <v>192858.13013152999</v>
      </c>
      <c r="E207" s="1">
        <v>200539.21967166301</v>
      </c>
      <c r="F207" s="1">
        <v>209688.718719372</v>
      </c>
      <c r="G207" s="1">
        <v>219774.383203112</v>
      </c>
      <c r="H207" s="1">
        <v>232389.14858693001</v>
      </c>
      <c r="I207" s="1">
        <v>245130.81240132501</v>
      </c>
      <c r="J207" s="1">
        <v>260328.77143502299</v>
      </c>
      <c r="K207" s="1">
        <v>278302.340494617</v>
      </c>
      <c r="L207" s="1">
        <v>296095.23205991701</v>
      </c>
      <c r="M207" s="1">
        <v>311118.20936878101</v>
      </c>
      <c r="N207" s="1">
        <v>331085.23747122998</v>
      </c>
      <c r="O207" s="1">
        <v>353147.59120129002</v>
      </c>
      <c r="P207" s="1">
        <v>375924.13945150998</v>
      </c>
      <c r="Q207" s="1">
        <v>398727.14280053001</v>
      </c>
      <c r="R207" s="1">
        <v>419573.30867452</v>
      </c>
      <c r="S207" s="1">
        <v>440955.85246604</v>
      </c>
      <c r="T207" s="1">
        <v>463775.46485554997</v>
      </c>
      <c r="U207" s="1">
        <v>487531.23186826002</v>
      </c>
      <c r="V207" s="1">
        <v>512762.62690277002</v>
      </c>
      <c r="W207" s="1">
        <v>539513.84562509996</v>
      </c>
      <c r="X207" s="1">
        <v>533746.35825687996</v>
      </c>
      <c r="Y207" s="1">
        <v>547651.82466996997</v>
      </c>
      <c r="Z207" s="1">
        <v>573528.76618999999</v>
      </c>
      <c r="AA207" s="1">
        <v>602235.93999999994</v>
      </c>
      <c r="AB207" s="1">
        <v>632534.73</v>
      </c>
      <c r="AC207" s="1">
        <v>661204.18000000005</v>
      </c>
    </row>
    <row r="208" spans="1:29">
      <c r="A208" s="1">
        <f>VLOOKUP(B208,Legend!$C$32:$D$66,2,FALSE)</f>
        <v>13</v>
      </c>
      <c r="B208" s="1" t="s">
        <v>39</v>
      </c>
      <c r="C208" s="1" t="s">
        <v>130</v>
      </c>
      <c r="D208" s="1">
        <v>61854.940640563102</v>
      </c>
      <c r="E208" s="1">
        <v>64118.831812823097</v>
      </c>
      <c r="F208" s="1">
        <v>67126.005455593506</v>
      </c>
      <c r="G208" s="1">
        <v>70656.832643198606</v>
      </c>
      <c r="H208" s="1">
        <v>74524.804181199506</v>
      </c>
      <c r="I208" s="1">
        <v>78798.093227406804</v>
      </c>
      <c r="J208" s="1">
        <v>83636.491947360395</v>
      </c>
      <c r="K208" s="1">
        <v>88941.199202361706</v>
      </c>
      <c r="L208" s="1">
        <v>95058.331297878496</v>
      </c>
      <c r="M208" s="1">
        <v>99129.655552507305</v>
      </c>
      <c r="N208" s="1">
        <v>105017.73945496</v>
      </c>
      <c r="O208" s="1">
        <v>111679.49297243</v>
      </c>
      <c r="P208" s="1">
        <v>118724.42466588999</v>
      </c>
      <c r="Q208" s="1">
        <v>125940.63426964</v>
      </c>
      <c r="R208" s="1">
        <v>133340.83644166999</v>
      </c>
      <c r="S208" s="1">
        <v>140719.47419497001</v>
      </c>
      <c r="T208" s="1">
        <v>148134.24388579</v>
      </c>
      <c r="U208" s="1">
        <v>155984.36412764</v>
      </c>
      <c r="V208" s="1">
        <v>163996.18904047</v>
      </c>
      <c r="W208" s="1">
        <v>172205.57130047001</v>
      </c>
      <c r="X208" s="1">
        <v>169426.61410347</v>
      </c>
      <c r="Y208" s="1">
        <v>174999.89195257</v>
      </c>
      <c r="Z208" s="1">
        <v>182628.34250716999</v>
      </c>
      <c r="AA208" s="1">
        <v>191069.34</v>
      </c>
      <c r="AB208" s="1">
        <v>199419.97</v>
      </c>
      <c r="AC208" s="1">
        <v>206137.88</v>
      </c>
    </row>
    <row r="209" spans="1:29">
      <c r="A209" s="1">
        <f>VLOOKUP(B209,Legend!$C$32:$D$66,2,FALSE)</f>
        <v>14</v>
      </c>
      <c r="B209" s="1" t="s">
        <v>4</v>
      </c>
      <c r="C209" s="1" t="s">
        <v>130</v>
      </c>
      <c r="D209" s="1">
        <v>376739.46964962</v>
      </c>
      <c r="E209" s="1">
        <v>375243.33387972001</v>
      </c>
      <c r="F209" s="1">
        <v>385146.72276498901</v>
      </c>
      <c r="G209" s="1">
        <v>290544.124766914</v>
      </c>
      <c r="H209" s="1">
        <v>299047.42857573502</v>
      </c>
      <c r="I209" s="1">
        <v>315232.42654732103</v>
      </c>
      <c r="J209" s="1">
        <v>331466.77633519599</v>
      </c>
      <c r="K209" s="1">
        <v>342767.58940616302</v>
      </c>
      <c r="L209" s="1">
        <v>362138.225009799</v>
      </c>
      <c r="M209" s="1">
        <v>372876.31199134898</v>
      </c>
      <c r="N209" s="1">
        <v>388578.22696073999</v>
      </c>
      <c r="O209" s="1">
        <v>410215.84020599001</v>
      </c>
      <c r="P209" s="1">
        <v>425625.99850734998</v>
      </c>
      <c r="Q209" s="1">
        <v>436187.50741601002</v>
      </c>
      <c r="R209" s="1">
        <v>447986.78247024998</v>
      </c>
      <c r="S209" s="1">
        <v>448991.96351888002</v>
      </c>
      <c r="T209" s="1">
        <v>458769.34006752999</v>
      </c>
      <c r="U209" s="1">
        <v>470983.51159980003</v>
      </c>
      <c r="V209" s="1">
        <v>482064.62897994003</v>
      </c>
      <c r="W209" s="1">
        <v>495607.05459697999</v>
      </c>
      <c r="X209" s="1">
        <v>489995.75046423002</v>
      </c>
      <c r="Y209" s="1">
        <v>506471.90715107002</v>
      </c>
      <c r="Z209" s="1">
        <v>529532.97939134995</v>
      </c>
      <c r="AA209" s="1">
        <v>551828.47999999998</v>
      </c>
      <c r="AB209" s="1">
        <v>571233.59</v>
      </c>
      <c r="AC209" s="1">
        <v>598610.44999999995</v>
      </c>
    </row>
    <row r="210" spans="1:29">
      <c r="A210" s="1">
        <f>VLOOKUP(B210,Legend!$C$32:$D$66,2,FALSE)</f>
        <v>15</v>
      </c>
      <c r="B210" s="1" t="s">
        <v>5</v>
      </c>
      <c r="C210" s="1" t="s">
        <v>130</v>
      </c>
      <c r="D210" s="1">
        <v>49631.702011847599</v>
      </c>
      <c r="E210" s="1">
        <v>52932.186373643402</v>
      </c>
      <c r="F210" s="1">
        <v>56032.890111581903</v>
      </c>
      <c r="G210" s="1">
        <v>58832.901285845597</v>
      </c>
      <c r="H210" s="1">
        <v>61999.861800004102</v>
      </c>
      <c r="I210" s="1">
        <v>65454.5781824273</v>
      </c>
      <c r="J210" s="1">
        <v>69311.571976084102</v>
      </c>
      <c r="K210" s="1">
        <v>74039.359941497198</v>
      </c>
      <c r="L210" s="1">
        <v>79343.211340652895</v>
      </c>
      <c r="M210" s="1">
        <v>84411.217772810007</v>
      </c>
      <c r="N210" s="1">
        <v>90618.411272040001</v>
      </c>
      <c r="O210" s="1">
        <v>97740.873964030005</v>
      </c>
      <c r="P210" s="1">
        <v>104615.08211916</v>
      </c>
      <c r="Q210" s="1">
        <v>111766.13095185001</v>
      </c>
      <c r="R210" s="1">
        <v>119991.44468537001</v>
      </c>
      <c r="S210" s="1">
        <v>125037.39804453</v>
      </c>
      <c r="T210" s="1">
        <v>130501.13209306</v>
      </c>
      <c r="U210" s="1">
        <v>136501.70606538001</v>
      </c>
      <c r="V210" s="1">
        <v>142901.99580599999</v>
      </c>
      <c r="W210" s="1">
        <v>149111.08835800999</v>
      </c>
      <c r="X210" s="1">
        <v>148354.25489861</v>
      </c>
      <c r="Y210" s="1">
        <v>153850.62853735001</v>
      </c>
      <c r="Z210" s="1">
        <v>161731.94796074001</v>
      </c>
      <c r="AA210" s="1">
        <v>169259.05</v>
      </c>
      <c r="AB210" s="1">
        <v>176868.44</v>
      </c>
      <c r="AC210" s="1">
        <v>185582.21</v>
      </c>
    </row>
    <row r="211" spans="1:29">
      <c r="A211" s="1">
        <f>VLOOKUP(B211,Legend!$C$32:$D$66,2,FALSE)</f>
        <v>16</v>
      </c>
      <c r="B211" s="1" t="s">
        <v>40</v>
      </c>
      <c r="C211" s="1" t="s">
        <v>130</v>
      </c>
      <c r="D211" s="1">
        <v>125529.235933431</v>
      </c>
      <c r="E211" s="1">
        <v>128627.018516368</v>
      </c>
      <c r="F211" s="1">
        <v>132594.35990895401</v>
      </c>
      <c r="G211" s="1">
        <v>137467.91374481801</v>
      </c>
      <c r="H211" s="1">
        <v>143838.875107567</v>
      </c>
      <c r="I211" s="1">
        <v>150793.60473084301</v>
      </c>
      <c r="J211" s="1">
        <v>158635.99667733299</v>
      </c>
      <c r="K211" s="1">
        <v>167894.00970962</v>
      </c>
      <c r="L211" s="1">
        <v>176410.950648097</v>
      </c>
      <c r="M211" s="1">
        <v>183664.475222551</v>
      </c>
      <c r="N211" s="1">
        <v>194012.97372025999</v>
      </c>
      <c r="O211" s="1">
        <v>206360.69935949999</v>
      </c>
      <c r="P211" s="1">
        <v>220459.19828633999</v>
      </c>
      <c r="Q211" s="1">
        <v>232175.04783085</v>
      </c>
      <c r="R211" s="1">
        <v>243297.77150442</v>
      </c>
      <c r="S211" s="1">
        <v>254044.87563463001</v>
      </c>
      <c r="T211" s="1">
        <v>266857.4007611</v>
      </c>
      <c r="U211" s="1">
        <v>281571.01305592997</v>
      </c>
      <c r="V211" s="1">
        <v>298484.06840064999</v>
      </c>
      <c r="W211" s="1">
        <v>315464.75237725</v>
      </c>
      <c r="X211" s="1">
        <v>315129.21665535</v>
      </c>
      <c r="Y211" s="1">
        <v>326405.18490211997</v>
      </c>
      <c r="Z211" s="1">
        <v>343503.61652191001</v>
      </c>
      <c r="AA211" s="1">
        <v>360967.45</v>
      </c>
      <c r="AB211" s="1">
        <v>379119.64</v>
      </c>
      <c r="AC211" s="1">
        <v>399385.82</v>
      </c>
    </row>
    <row r="212" spans="1:29">
      <c r="A212" s="1">
        <f>VLOOKUP(B212,Legend!$C$32:$D$66,2,FALSE)</f>
        <v>17</v>
      </c>
      <c r="B212" s="1" t="s">
        <v>6</v>
      </c>
      <c r="C212" s="1" t="s">
        <v>130</v>
      </c>
      <c r="D212" s="1">
        <v>16550.038587152299</v>
      </c>
      <c r="E212" s="1">
        <v>17236.785436837799</v>
      </c>
      <c r="F212" s="1">
        <v>18052.424105988401</v>
      </c>
      <c r="G212" s="1">
        <v>19021.376012120101</v>
      </c>
      <c r="H212" s="1">
        <v>20045.453724585801</v>
      </c>
      <c r="I212" s="1">
        <v>21211.918810977801</v>
      </c>
      <c r="J212" s="1">
        <v>22474.093224320499</v>
      </c>
      <c r="K212" s="1">
        <v>23925.008132975701</v>
      </c>
      <c r="L212" s="1">
        <v>25300.078443040999</v>
      </c>
      <c r="M212" s="1">
        <v>26721.308368393598</v>
      </c>
      <c r="N212" s="1">
        <v>28352.57199475</v>
      </c>
      <c r="O212" s="1">
        <v>30295.054198310001</v>
      </c>
      <c r="P212" s="1">
        <v>32363.037833049999</v>
      </c>
      <c r="Q212" s="1">
        <v>34326.371684400001</v>
      </c>
      <c r="R212" s="1">
        <v>36207.14590756</v>
      </c>
      <c r="S212" s="1">
        <v>38066.005715430001</v>
      </c>
      <c r="T212" s="1">
        <v>40076.543830460003</v>
      </c>
      <c r="U212" s="1">
        <v>42073.515590019997</v>
      </c>
      <c r="V212" s="1">
        <v>44164.109812399998</v>
      </c>
      <c r="W212" s="1">
        <v>46345.453562440001</v>
      </c>
      <c r="X212" s="1">
        <v>46338.43149476</v>
      </c>
      <c r="Y212" s="1">
        <v>47853.777392759999</v>
      </c>
      <c r="Z212" s="1">
        <v>49916.060786770002</v>
      </c>
      <c r="AA212" s="1">
        <v>52051.6</v>
      </c>
      <c r="AB212" s="1">
        <v>54454.65</v>
      </c>
      <c r="AC212" s="1">
        <v>57066.81</v>
      </c>
    </row>
    <row r="213" spans="1:29">
      <c r="A213" s="1">
        <f>VLOOKUP(B213,Legend!$C$32:$D$66,2,FALSE)</f>
        <v>18</v>
      </c>
      <c r="B213" s="1" t="s">
        <v>7</v>
      </c>
      <c r="C213" s="1" t="s">
        <v>130</v>
      </c>
      <c r="D213" s="1">
        <v>91243.844318663105</v>
      </c>
      <c r="E213" s="1">
        <v>94437.498252054094</v>
      </c>
      <c r="F213" s="1">
        <v>99746.429620331503</v>
      </c>
      <c r="G213" s="1">
        <v>105491.11784365</v>
      </c>
      <c r="H213" s="1">
        <v>110841.499634755</v>
      </c>
      <c r="I213" s="1">
        <v>115292.68390040701</v>
      </c>
      <c r="J213" s="1">
        <v>121034.764029706</v>
      </c>
      <c r="K213" s="1">
        <v>128225.659858606</v>
      </c>
      <c r="L213" s="1">
        <v>135082.14631245399</v>
      </c>
      <c r="M213" s="1">
        <v>142193.089166744</v>
      </c>
      <c r="N213" s="1">
        <v>150560.84170681</v>
      </c>
      <c r="O213" s="1">
        <v>160437.50137606999</v>
      </c>
      <c r="P213" s="1">
        <v>170769.20660958</v>
      </c>
      <c r="Q213" s="1">
        <v>180620.00769219999</v>
      </c>
      <c r="R213" s="1">
        <v>189797.49092302</v>
      </c>
      <c r="S213" s="1">
        <v>199536.91660709001</v>
      </c>
      <c r="T213" s="1">
        <v>209793.72829142999</v>
      </c>
      <c r="U213" s="1">
        <v>220626.09675621</v>
      </c>
      <c r="V213" s="1">
        <v>232165.98699177001</v>
      </c>
      <c r="W213" s="1">
        <v>244378.31315530001</v>
      </c>
      <c r="X213" s="1">
        <v>240319.59219962</v>
      </c>
      <c r="Y213" s="1">
        <v>246966.49114744001</v>
      </c>
      <c r="Z213" s="1">
        <v>257534.18964950001</v>
      </c>
      <c r="AA213" s="1">
        <v>269240.53999999998</v>
      </c>
      <c r="AB213" s="1">
        <v>281557.23</v>
      </c>
      <c r="AC213" s="1">
        <v>296420.65000000002</v>
      </c>
    </row>
    <row r="214" spans="1:29">
      <c r="A214" s="1">
        <f>VLOOKUP(B214,Legend!$C$32:$D$66,2,FALSE)</f>
        <v>19</v>
      </c>
      <c r="B214" s="1" t="s">
        <v>28</v>
      </c>
      <c r="C214" s="1" t="s">
        <v>130</v>
      </c>
      <c r="D214" s="1">
        <v>18820.780657526</v>
      </c>
      <c r="E214" s="1">
        <v>21111.4089607075</v>
      </c>
      <c r="F214" s="1">
        <v>23782.013429909301</v>
      </c>
      <c r="G214" s="1">
        <v>26618.5587817468</v>
      </c>
      <c r="H214" s="1">
        <v>27492.344618700099</v>
      </c>
      <c r="I214" s="1">
        <v>28447.4070345857</v>
      </c>
      <c r="J214" s="1">
        <v>29579.774123639301</v>
      </c>
      <c r="K214" s="1">
        <v>30921.329050156299</v>
      </c>
      <c r="L214" s="1">
        <v>32343.768415510502</v>
      </c>
      <c r="M214" s="1">
        <v>33553.175377281703</v>
      </c>
      <c r="N214" s="1">
        <v>35561.904167870001</v>
      </c>
      <c r="O214" s="1">
        <v>38013.990299650002</v>
      </c>
      <c r="P214" s="1">
        <v>40104.906127889997</v>
      </c>
      <c r="Q214" s="1">
        <v>42190.857085720003</v>
      </c>
      <c r="R214" s="1">
        <v>44159.439524519999</v>
      </c>
      <c r="S214" s="1">
        <v>45962.303987439998</v>
      </c>
      <c r="T214" s="1">
        <v>47848.371793459999</v>
      </c>
      <c r="U214" s="1">
        <v>49985.153670209998</v>
      </c>
      <c r="V214" s="1">
        <v>52208.035498329999</v>
      </c>
      <c r="W214" s="1">
        <v>53941.901696879999</v>
      </c>
      <c r="X214" s="1">
        <v>52705.936485780003</v>
      </c>
      <c r="Y214" s="1">
        <v>55369.646314650003</v>
      </c>
      <c r="Z214" s="1">
        <v>57804.209282980002</v>
      </c>
      <c r="AA214" s="1">
        <v>60336.31</v>
      </c>
      <c r="AB214" s="1">
        <v>60801.87</v>
      </c>
      <c r="AC214" s="1">
        <v>63291.16</v>
      </c>
    </row>
    <row r="215" spans="1:29">
      <c r="A215" s="1">
        <f>VLOOKUP(B215,Legend!$C$32:$D$66,2,FALSE)</f>
        <v>21</v>
      </c>
      <c r="B215" s="1" t="s">
        <v>29</v>
      </c>
      <c r="C215" s="1" t="s">
        <v>130</v>
      </c>
      <c r="G215" s="1">
        <v>72502.480968899705</v>
      </c>
      <c r="H215" s="1">
        <v>77195.764535470997</v>
      </c>
      <c r="I215" s="1">
        <v>82265.887413840101</v>
      </c>
      <c r="J215" s="1">
        <v>87842.524351739907</v>
      </c>
      <c r="K215" s="1">
        <v>93996.763971932494</v>
      </c>
      <c r="L215" s="1">
        <v>100227.11511438699</v>
      </c>
      <c r="M215" s="1">
        <v>103758.288485845</v>
      </c>
      <c r="N215" s="1">
        <v>111223.67160187</v>
      </c>
      <c r="O215" s="1">
        <v>118961.42326089001</v>
      </c>
      <c r="P215" s="1">
        <v>128034.96801894</v>
      </c>
      <c r="Q215" s="1">
        <v>137263.85122642</v>
      </c>
      <c r="R215" s="1">
        <v>146325.23458451999</v>
      </c>
      <c r="S215" s="1">
        <v>155131.35099887999</v>
      </c>
      <c r="T215" s="1">
        <v>162853.03899236</v>
      </c>
      <c r="U215" s="1">
        <v>166081.67571218999</v>
      </c>
      <c r="V215" s="1">
        <v>173498.75136105</v>
      </c>
      <c r="W215" s="1">
        <v>181877.67437299999</v>
      </c>
      <c r="X215" s="1">
        <v>174959.20544361</v>
      </c>
      <c r="Y215" s="1">
        <v>180952.44266196</v>
      </c>
      <c r="Z215" s="1">
        <v>190111.08763990001</v>
      </c>
      <c r="AA215" s="1">
        <v>199912.82</v>
      </c>
      <c r="AB215" s="1">
        <v>209939.07</v>
      </c>
      <c r="AC215" s="1">
        <v>224504.71</v>
      </c>
    </row>
    <row r="216" spans="1:29">
      <c r="A216" s="1">
        <f>VLOOKUP(B216,Legend!$C$32:$D$66,2,FALSE)</f>
        <v>31</v>
      </c>
      <c r="B216" s="1" t="s">
        <v>8</v>
      </c>
      <c r="C216" s="1" t="s">
        <v>130</v>
      </c>
      <c r="D216" s="1">
        <v>619429.61232461198</v>
      </c>
      <c r="E216" s="1">
        <v>648596.01514515898</v>
      </c>
      <c r="F216" s="1">
        <v>680325.22636584996</v>
      </c>
      <c r="G216" s="1">
        <v>716451.85725620005</v>
      </c>
      <c r="H216" s="1">
        <v>756947.17883621599</v>
      </c>
      <c r="I216" s="1">
        <v>802457.04206027603</v>
      </c>
      <c r="J216" s="1">
        <v>850169.452444989</v>
      </c>
      <c r="K216" s="1">
        <v>904916.30133896403</v>
      </c>
      <c r="L216" s="1">
        <v>961314.40060974902</v>
      </c>
      <c r="M216" s="1">
        <v>1009543.01712038</v>
      </c>
      <c r="N216" s="1">
        <v>1075183.48081373</v>
      </c>
      <c r="O216" s="1">
        <v>1147558.22641189</v>
      </c>
      <c r="P216" s="1">
        <v>1222527.92489167</v>
      </c>
      <c r="Q216" s="1">
        <v>1296694.5734725399</v>
      </c>
      <c r="R216" s="1">
        <v>1373389.12911488</v>
      </c>
      <c r="S216" s="1">
        <v>1454563.8473786199</v>
      </c>
      <c r="T216" s="1">
        <v>1539916.8810268501</v>
      </c>
      <c r="U216" s="1">
        <v>1635359.1473374299</v>
      </c>
      <c r="V216" s="1">
        <v>1735208.2910565599</v>
      </c>
      <c r="W216" s="1">
        <v>1836240.5495070701</v>
      </c>
      <c r="X216" s="1">
        <v>1792291.08718913</v>
      </c>
      <c r="Y216" s="1">
        <v>1856000.69484497</v>
      </c>
      <c r="Z216" s="1">
        <v>1953488.9909546301</v>
      </c>
      <c r="AA216" s="1">
        <v>2050474.47</v>
      </c>
      <c r="AB216" s="1">
        <v>2151198.75</v>
      </c>
      <c r="AC216" s="1">
        <v>2263237.0299999998</v>
      </c>
    </row>
    <row r="217" spans="1:29">
      <c r="A217" s="1">
        <f>VLOOKUP(B217,Legend!$C$32:$D$66,2,FALSE)</f>
        <v>32</v>
      </c>
      <c r="B217" s="1" t="s">
        <v>21</v>
      </c>
      <c r="C217" s="1" t="s">
        <v>130</v>
      </c>
      <c r="D217" s="1">
        <v>550817.39397982601</v>
      </c>
      <c r="E217" s="1">
        <v>572247.50868617499</v>
      </c>
      <c r="F217" s="1">
        <v>590149.68183589797</v>
      </c>
      <c r="G217" s="1">
        <v>645510.21572698897</v>
      </c>
      <c r="H217" s="1">
        <v>647192.67686553998</v>
      </c>
      <c r="I217" s="1">
        <v>683435.99681793305</v>
      </c>
      <c r="J217" s="1">
        <v>724561.84943529195</v>
      </c>
      <c r="K217" s="1">
        <v>771499.08824389998</v>
      </c>
      <c r="L217" s="1">
        <v>819406.17584116699</v>
      </c>
      <c r="M217" s="1">
        <v>853733.35529425705</v>
      </c>
      <c r="N217" s="1">
        <v>906685.76040491997</v>
      </c>
      <c r="O217" s="1">
        <v>965622.06109881005</v>
      </c>
      <c r="P217" s="1">
        <v>1028409.73951044</v>
      </c>
      <c r="Q217" s="1">
        <v>1093543.5458690501</v>
      </c>
      <c r="R217" s="1">
        <v>1149216.0570536901</v>
      </c>
      <c r="S217" s="1">
        <v>1207232.3415644299</v>
      </c>
      <c r="T217" s="1">
        <v>1275619.24115641</v>
      </c>
      <c r="U217" s="1">
        <v>1343662.1418310101</v>
      </c>
      <c r="V217" s="1">
        <v>1419624.1400437001</v>
      </c>
      <c r="W217" s="1">
        <v>1490959.6871041199</v>
      </c>
      <c r="X217" s="1">
        <v>1453380.7228411699</v>
      </c>
      <c r="Y217" s="1">
        <v>1507746.39013977</v>
      </c>
      <c r="Z217" s="1">
        <v>1589984.9263083299</v>
      </c>
      <c r="AA217" s="1">
        <v>1669406.36</v>
      </c>
      <c r="AB217" s="1">
        <v>1752124.2</v>
      </c>
      <c r="AC217" s="1">
        <v>1845316.74</v>
      </c>
    </row>
    <row r="218" spans="1:29">
      <c r="A218" s="1">
        <f>VLOOKUP(B218,Legend!$C$32:$D$66,2,FALSE)</f>
        <v>33</v>
      </c>
      <c r="B218" s="1" t="s">
        <v>22</v>
      </c>
      <c r="C218" s="1" t="s">
        <v>130</v>
      </c>
      <c r="D218" s="1">
        <v>382285.341790559</v>
      </c>
      <c r="E218" s="1">
        <v>396000.447286312</v>
      </c>
      <c r="F218" s="1">
        <v>410072.32393386198</v>
      </c>
      <c r="G218" s="1">
        <v>430495.93091854698</v>
      </c>
      <c r="H218" s="1">
        <v>452570.94283037703</v>
      </c>
      <c r="I218" s="1">
        <v>476772.10116894601</v>
      </c>
      <c r="J218" s="1">
        <v>502206.75478712498</v>
      </c>
      <c r="K218" s="1">
        <v>530294.90602845</v>
      </c>
      <c r="L218" s="1">
        <v>560038.26530953997</v>
      </c>
      <c r="M218" s="1">
        <v>588830.90076133294</v>
      </c>
      <c r="N218" s="1">
        <v>623224.62132670998</v>
      </c>
      <c r="O218" s="1">
        <v>656268.12991410005</v>
      </c>
      <c r="P218" s="1">
        <v>691343.11596097006</v>
      </c>
      <c r="Q218" s="1">
        <v>726655.11806000001</v>
      </c>
      <c r="R218" s="1">
        <v>764959.15095000004</v>
      </c>
      <c r="S218" s="1">
        <v>806765.09216999996</v>
      </c>
      <c r="T218" s="1">
        <v>849099.35468999995</v>
      </c>
      <c r="U218" s="1">
        <v>893750.29616999999</v>
      </c>
      <c r="V218" s="1">
        <v>941091.14385999995</v>
      </c>
      <c r="W218" s="1">
        <v>991516.54330999998</v>
      </c>
      <c r="X218" s="1">
        <v>965227.26921000006</v>
      </c>
      <c r="Y218" s="1">
        <v>997321.13133999996</v>
      </c>
      <c r="Z218" s="1">
        <v>1050278.09192</v>
      </c>
      <c r="AA218" s="1">
        <v>1102437.49</v>
      </c>
      <c r="AB218" s="1">
        <v>1156998.8799999999</v>
      </c>
      <c r="AC218" s="1">
        <v>1219148.5900000001</v>
      </c>
    </row>
    <row r="219" spans="1:29">
      <c r="A219" s="1">
        <f>VLOOKUP(B219,Legend!$C$32:$D$66,2,FALSE)</f>
        <v>34</v>
      </c>
      <c r="B219" s="1" t="s">
        <v>9</v>
      </c>
      <c r="C219" s="1" t="s">
        <v>130</v>
      </c>
      <c r="D219" s="1">
        <v>41432.689263499597</v>
      </c>
      <c r="E219" s="1">
        <v>43198.330603263399</v>
      </c>
      <c r="F219" s="1">
        <v>45141.442733335301</v>
      </c>
      <c r="G219" s="1">
        <v>47210.2943528221</v>
      </c>
      <c r="H219" s="1">
        <v>49626.114173888403</v>
      </c>
      <c r="I219" s="1">
        <v>52064.199756495102</v>
      </c>
      <c r="J219" s="1">
        <v>53894.999126955001</v>
      </c>
      <c r="K219" s="1">
        <v>56219.053829885001</v>
      </c>
      <c r="L219" s="1">
        <v>59049.6576967293</v>
      </c>
      <c r="M219" s="1">
        <v>61667.594376374203</v>
      </c>
      <c r="N219" s="1">
        <v>64678.968195330002</v>
      </c>
      <c r="O219" s="1">
        <v>68049.874443099994</v>
      </c>
      <c r="P219" s="1">
        <v>71702.449184280005</v>
      </c>
      <c r="Q219" s="1">
        <v>75627.44958611</v>
      </c>
      <c r="R219" s="1">
        <v>79536.081753270002</v>
      </c>
      <c r="S219" s="1">
        <v>83474.451546349999</v>
      </c>
      <c r="T219" s="1">
        <v>87685.809614900005</v>
      </c>
      <c r="U219" s="1">
        <v>92300.243886340002</v>
      </c>
      <c r="V219" s="1">
        <v>98024.014331059996</v>
      </c>
      <c r="W219" s="1">
        <v>104485.45876363</v>
      </c>
      <c r="X219" s="1">
        <v>101698.52017030001</v>
      </c>
      <c r="Y219" s="1">
        <v>107372.56032521999</v>
      </c>
      <c r="Z219" s="1">
        <v>112901.32317418</v>
      </c>
      <c r="AA219" s="1">
        <v>118625.55</v>
      </c>
      <c r="AB219" s="1">
        <v>124590.45</v>
      </c>
      <c r="AC219" s="1">
        <v>131435.94</v>
      </c>
    </row>
    <row r="220" spans="1:29">
      <c r="A220" s="1">
        <f>VLOOKUP(B220,Legend!$C$32:$D$66,2,FALSE)</f>
        <v>35</v>
      </c>
      <c r="B220" s="1" t="s">
        <v>23</v>
      </c>
      <c r="C220" s="1" t="s">
        <v>130</v>
      </c>
      <c r="D220" s="1">
        <v>587042.53250588104</v>
      </c>
      <c r="E220" s="1">
        <v>609092.45733972499</v>
      </c>
      <c r="F220" s="1">
        <v>632257.57451211696</v>
      </c>
      <c r="G220" s="1">
        <v>662450.67656759801</v>
      </c>
      <c r="H220" s="1">
        <v>701072.90911398095</v>
      </c>
      <c r="I220" s="1">
        <v>742014.60401574895</v>
      </c>
      <c r="J220" s="1">
        <v>785064.588278946</v>
      </c>
      <c r="K220" s="1">
        <v>834716.48814805597</v>
      </c>
      <c r="L220" s="1">
        <v>884307.78804315894</v>
      </c>
      <c r="M220" s="1">
        <v>928655.00502188003</v>
      </c>
      <c r="N220" s="1">
        <v>990648.84384112002</v>
      </c>
      <c r="O220" s="1">
        <v>1054401.77368671</v>
      </c>
      <c r="P220" s="1">
        <v>1124464.63972333</v>
      </c>
      <c r="Q220" s="1">
        <v>1192789.80180631</v>
      </c>
      <c r="R220" s="1">
        <v>1262684.49506941</v>
      </c>
      <c r="S220" s="1">
        <v>1331376.0989000001</v>
      </c>
      <c r="T220" s="1">
        <v>1405563.5110243701</v>
      </c>
      <c r="U220" s="1">
        <v>1482299.57682786</v>
      </c>
      <c r="V220" s="1">
        <v>1563441.82456247</v>
      </c>
      <c r="W220" s="1">
        <v>1649895.6414566501</v>
      </c>
      <c r="X220" s="1">
        <v>1611392.54676985</v>
      </c>
      <c r="Y220" s="1">
        <v>1668754.3594106799</v>
      </c>
      <c r="Z220" s="1">
        <v>1757874.8953795501</v>
      </c>
      <c r="AA220" s="1">
        <v>1844808.68</v>
      </c>
      <c r="AB220" s="1">
        <v>1935810.16</v>
      </c>
      <c r="AC220" s="1">
        <v>2038961.63</v>
      </c>
    </row>
    <row r="221" spans="1:29">
      <c r="A221" s="1">
        <f>VLOOKUP(B221,Legend!$C$32:$D$66,2,FALSE)</f>
        <v>36</v>
      </c>
      <c r="B221" s="1" t="s">
        <v>10</v>
      </c>
      <c r="C221" s="1" t="s">
        <v>130</v>
      </c>
      <c r="D221" s="1">
        <v>138907.80531950999</v>
      </c>
      <c r="E221" s="1">
        <v>145601.68365166301</v>
      </c>
      <c r="F221" s="1">
        <v>151591.66919367999</v>
      </c>
      <c r="G221" s="1">
        <v>159280.603472702</v>
      </c>
      <c r="H221" s="1">
        <v>168241.18484865499</v>
      </c>
      <c r="I221" s="1">
        <v>178132.460339657</v>
      </c>
      <c r="J221" s="1">
        <v>188048.781631897</v>
      </c>
      <c r="K221" s="1">
        <v>230991.50772808399</v>
      </c>
      <c r="L221" s="1">
        <v>244330.14249941701</v>
      </c>
      <c r="M221" s="1">
        <v>255835.465092119</v>
      </c>
      <c r="N221" s="1">
        <v>271465.28322854999</v>
      </c>
      <c r="O221" s="1">
        <v>290545.83891881001</v>
      </c>
      <c r="P221" s="1">
        <v>310385.59246542997</v>
      </c>
      <c r="Q221" s="1">
        <v>331099.10550309002</v>
      </c>
      <c r="R221" s="1">
        <v>349351.22765870998</v>
      </c>
      <c r="S221" s="1">
        <v>368377.20302298001</v>
      </c>
      <c r="T221" s="1">
        <v>387835.08944909001</v>
      </c>
      <c r="U221" s="1">
        <v>410136.99842050998</v>
      </c>
      <c r="V221" s="1">
        <v>433782.71415294998</v>
      </c>
      <c r="W221" s="1">
        <v>456620.03495124</v>
      </c>
      <c r="X221" s="1">
        <v>441148.57728447998</v>
      </c>
      <c r="Y221" s="1">
        <v>460952.78569430998</v>
      </c>
      <c r="Z221" s="1">
        <v>484129.42101401999</v>
      </c>
      <c r="AA221" s="1">
        <v>507425.73</v>
      </c>
      <c r="AB221" s="1">
        <v>531735.25</v>
      </c>
      <c r="AC221" s="1">
        <v>560270.87</v>
      </c>
    </row>
    <row r="222" spans="1:29">
      <c r="A222" s="1">
        <f>VLOOKUP(B222,Legend!$C$32:$D$66,2,FALSE)</f>
        <v>51</v>
      </c>
      <c r="B222" s="1" t="s">
        <v>11</v>
      </c>
      <c r="C222" s="1" t="s">
        <v>130</v>
      </c>
      <c r="D222" s="1">
        <v>56050.739652926102</v>
      </c>
      <c r="E222" s="1">
        <v>58036.077509045099</v>
      </c>
      <c r="F222" s="1">
        <v>59801.795315228599</v>
      </c>
      <c r="G222" s="1">
        <v>61934.457550627601</v>
      </c>
      <c r="H222" s="1">
        <v>64798.4600054041</v>
      </c>
      <c r="I222" s="1">
        <v>68398.8025160978</v>
      </c>
      <c r="J222" s="1">
        <v>72008.991461483194</v>
      </c>
      <c r="K222" s="1">
        <v>79361.598533127006</v>
      </c>
      <c r="L222" s="1">
        <v>84102.023158664699</v>
      </c>
      <c r="M222" s="1">
        <v>88583.361724681701</v>
      </c>
      <c r="N222" s="1">
        <v>93749.349737340002</v>
      </c>
      <c r="O222" s="1">
        <v>99991.631928589995</v>
      </c>
      <c r="P222" s="1">
        <v>106951.46495376001</v>
      </c>
      <c r="Q222" s="1">
        <v>114103.58075417001</v>
      </c>
      <c r="R222" s="1">
        <v>121787.57471888</v>
      </c>
      <c r="S222" s="1">
        <v>129126.56221023999</v>
      </c>
      <c r="T222" s="1">
        <v>137296.44521698001</v>
      </c>
      <c r="U222" s="1">
        <v>144933.31201297999</v>
      </c>
      <c r="V222" s="1">
        <v>154072.66260657</v>
      </c>
      <c r="W222" s="1">
        <v>162693.35730929</v>
      </c>
      <c r="X222" s="1">
        <v>147498.94317484999</v>
      </c>
      <c r="Y222" s="1">
        <v>143871.67790921999</v>
      </c>
      <c r="Z222" s="1">
        <v>150830.77481736001</v>
      </c>
      <c r="AA222" s="1">
        <v>159464.29999999999</v>
      </c>
      <c r="AB222" s="1">
        <v>168198.68</v>
      </c>
      <c r="AC222" s="1">
        <v>177992.95</v>
      </c>
    </row>
    <row r="223" spans="1:29">
      <c r="A223" s="1">
        <f>VLOOKUP(B223,Legend!$C$32:$D$66,2,FALSE)</f>
        <v>52</v>
      </c>
      <c r="B223" s="1" t="s">
        <v>31</v>
      </c>
      <c r="C223" s="1" t="s">
        <v>130</v>
      </c>
      <c r="D223" s="1">
        <v>42557.0281227706</v>
      </c>
      <c r="E223" s="1">
        <v>45712.892063957101</v>
      </c>
      <c r="F223" s="1">
        <v>47316.990186098199</v>
      </c>
      <c r="G223" s="1">
        <v>49164.479545557602</v>
      </c>
      <c r="H223" s="1">
        <v>52150.7835450645</v>
      </c>
      <c r="I223" s="1">
        <v>53043.778687120699</v>
      </c>
      <c r="J223" s="1">
        <v>54505.2625994876</v>
      </c>
      <c r="K223" s="1">
        <v>57185.0181562371</v>
      </c>
      <c r="L223" s="1">
        <v>58800.320080076599</v>
      </c>
      <c r="M223" s="1">
        <v>65936.744575431207</v>
      </c>
      <c r="N223" s="1">
        <v>70122.726129389994</v>
      </c>
      <c r="O223" s="1">
        <v>67379.140577040002</v>
      </c>
      <c r="P223" s="1">
        <v>66340.812441150003</v>
      </c>
      <c r="Q223" s="1">
        <v>69766.714413220005</v>
      </c>
      <c r="R223" s="1">
        <v>73372.963800419995</v>
      </c>
      <c r="S223" s="1">
        <v>89337.985798830006</v>
      </c>
      <c r="T223" s="1">
        <v>94524.289846939995</v>
      </c>
      <c r="U223" s="1">
        <v>94608.209353269995</v>
      </c>
      <c r="V223" s="1">
        <v>90349.129081999999</v>
      </c>
      <c r="W223" s="1">
        <v>93872.438647500006</v>
      </c>
      <c r="X223" s="1">
        <v>93288.873639340003</v>
      </c>
      <c r="Y223" s="1">
        <v>95437.86424209</v>
      </c>
      <c r="Z223" s="1">
        <v>102073.66118626999</v>
      </c>
      <c r="AA223" s="1">
        <v>103906.21</v>
      </c>
      <c r="AB223" s="1">
        <v>109415.25</v>
      </c>
      <c r="AC223" s="1">
        <v>112939.04</v>
      </c>
    </row>
    <row r="224" spans="1:29">
      <c r="A224" s="1">
        <f>VLOOKUP(B224,Legend!$C$32:$D$66,2,FALSE)</f>
        <v>53</v>
      </c>
      <c r="B224" s="1" t="s">
        <v>32</v>
      </c>
      <c r="C224" s="1" t="s">
        <v>130</v>
      </c>
      <c r="D224" s="1">
        <v>27435.0938534536</v>
      </c>
      <c r="E224" s="1">
        <v>28731.426556413899</v>
      </c>
      <c r="F224" s="1">
        <v>30132.490084298901</v>
      </c>
      <c r="G224" s="1">
        <v>31640.2134776292</v>
      </c>
      <c r="H224" s="1">
        <v>33328.718021621302</v>
      </c>
      <c r="I224" s="1">
        <v>34482.682641675499</v>
      </c>
      <c r="J224" s="1">
        <v>36234.160573673398</v>
      </c>
      <c r="K224" s="1">
        <v>38099.963651259997</v>
      </c>
      <c r="L224" s="1">
        <v>39942.924722408097</v>
      </c>
      <c r="M224" s="1">
        <v>41658.1957279704</v>
      </c>
      <c r="N224" s="1">
        <v>43846.608663320003</v>
      </c>
      <c r="O224" s="1">
        <v>46334.127523620002</v>
      </c>
      <c r="P224" s="1">
        <v>48863.187536110003</v>
      </c>
      <c r="Q224" s="1">
        <v>51505.188638090003</v>
      </c>
      <c r="R224" s="1">
        <v>54107.97423118</v>
      </c>
      <c r="S224" s="1">
        <v>56770.79325689</v>
      </c>
      <c r="T224" s="1">
        <v>59678.012411759999</v>
      </c>
      <c r="U224" s="1">
        <v>62725.41047011</v>
      </c>
      <c r="V224" s="1">
        <v>65929.193544599999</v>
      </c>
      <c r="W224" s="1">
        <v>69389.016377609994</v>
      </c>
      <c r="X224" s="1">
        <v>68809.6142769</v>
      </c>
      <c r="Y224" s="1">
        <v>70540.55664291</v>
      </c>
      <c r="Z224" s="1">
        <v>72711.277016849999</v>
      </c>
      <c r="AA224" s="1">
        <v>75246.66</v>
      </c>
      <c r="AB224" s="1">
        <v>78161.59</v>
      </c>
      <c r="AC224" s="1">
        <v>82176.5</v>
      </c>
    </row>
    <row r="225" spans="1:29">
      <c r="A225" s="1">
        <f>VLOOKUP(B225,Legend!$C$32:$D$66,2,FALSE)</f>
        <v>61</v>
      </c>
      <c r="B225" s="1" t="s">
        <v>24</v>
      </c>
      <c r="C225" s="1" t="s">
        <v>130</v>
      </c>
      <c r="D225" s="1">
        <v>54823.522882428799</v>
      </c>
      <c r="E225" s="1">
        <v>56297.048840802301</v>
      </c>
      <c r="F225" s="1">
        <v>59043.634880161699</v>
      </c>
      <c r="G225" s="1">
        <v>60885.149552463801</v>
      </c>
      <c r="H225" s="1">
        <v>63801.613408069497</v>
      </c>
      <c r="I225" s="1">
        <v>66796.410908760401</v>
      </c>
      <c r="J225" s="1">
        <v>69641.699250745805</v>
      </c>
      <c r="K225" s="1">
        <v>73838.015672212699</v>
      </c>
      <c r="L225" s="1">
        <v>77864.962834090402</v>
      </c>
      <c r="M225" s="1">
        <v>81605.382376043301</v>
      </c>
      <c r="N225" s="1">
        <v>86065.854862239998</v>
      </c>
      <c r="O225" s="1">
        <v>90797.590931789993</v>
      </c>
      <c r="P225" s="1">
        <v>96161.928391470006</v>
      </c>
      <c r="Q225" s="1">
        <v>101980.33936085</v>
      </c>
      <c r="R225" s="1">
        <v>107114.96293717</v>
      </c>
      <c r="S225" s="1">
        <v>112346.75518565001</v>
      </c>
      <c r="T225" s="1">
        <v>118183.27256065</v>
      </c>
      <c r="U225" s="1">
        <v>124289.17215841</v>
      </c>
      <c r="V225" s="1">
        <v>130596.32054435</v>
      </c>
      <c r="W225" s="1">
        <v>137243.08815461001</v>
      </c>
      <c r="X225" s="1">
        <v>134743.38106809999</v>
      </c>
      <c r="Y225" s="1">
        <v>141212.04289315001</v>
      </c>
      <c r="Z225" s="1">
        <v>148368.93910935</v>
      </c>
      <c r="AA225" s="1">
        <v>154980.81</v>
      </c>
      <c r="AB225" s="1">
        <v>162574.47</v>
      </c>
      <c r="AC225" s="1">
        <v>171330.68</v>
      </c>
    </row>
    <row r="226" spans="1:29">
      <c r="A226" s="1">
        <f>VLOOKUP(B226,Legend!$C$32:$D$66,2,FALSE)</f>
        <v>62</v>
      </c>
      <c r="B226" s="1" t="s">
        <v>26</v>
      </c>
      <c r="C226" s="1" t="s">
        <v>130</v>
      </c>
      <c r="D226" s="1">
        <v>33008.144367085901</v>
      </c>
      <c r="E226" s="1">
        <v>33983.136244555302</v>
      </c>
      <c r="F226" s="1">
        <v>35975.857320814102</v>
      </c>
      <c r="G226" s="1">
        <v>37742.4071677108</v>
      </c>
      <c r="H226" s="1">
        <v>39839.572064188702</v>
      </c>
      <c r="I226" s="1">
        <v>42188.962082528204</v>
      </c>
      <c r="J226" s="1">
        <v>44651.220317208201</v>
      </c>
      <c r="K226" s="1">
        <v>47359.016059504</v>
      </c>
      <c r="L226" s="1">
        <v>50280.758222263001</v>
      </c>
      <c r="M226" s="1">
        <v>53080.401156178101</v>
      </c>
      <c r="N226" s="1">
        <v>56531.023580939996</v>
      </c>
      <c r="O226" s="1">
        <v>60492.928434889996</v>
      </c>
      <c r="P226" s="1">
        <v>64649.165297129999</v>
      </c>
      <c r="Q226" s="1">
        <v>69410.986446640003</v>
      </c>
      <c r="R226" s="1">
        <v>73724.522724599999</v>
      </c>
      <c r="S226" s="1">
        <v>78890.96834865</v>
      </c>
      <c r="T226" s="1">
        <v>83900.239367860006</v>
      </c>
      <c r="U226" s="1">
        <v>89544.898297549997</v>
      </c>
      <c r="V226" s="1">
        <v>94566.24789051</v>
      </c>
      <c r="W226" s="1">
        <v>100349.28502414</v>
      </c>
      <c r="X226" s="1">
        <v>98933.61363747</v>
      </c>
      <c r="Y226" s="1">
        <v>102481.47433041999</v>
      </c>
      <c r="Z226" s="1">
        <v>109094.72068535999</v>
      </c>
      <c r="AA226" s="1">
        <v>113611.53</v>
      </c>
      <c r="AB226" s="1">
        <v>118682.32</v>
      </c>
      <c r="AC226" s="1">
        <v>124378.82</v>
      </c>
    </row>
    <row r="227" spans="1:29">
      <c r="A227" s="1">
        <f>VLOOKUP(B227,Legend!$C$32:$D$66,2,FALSE)</f>
        <v>63</v>
      </c>
      <c r="B227" s="1" t="s">
        <v>25</v>
      </c>
      <c r="C227" s="1" t="s">
        <v>130</v>
      </c>
      <c r="D227" s="1">
        <v>47874.3268353616</v>
      </c>
      <c r="E227" s="1">
        <v>49914.7298493052</v>
      </c>
      <c r="F227" s="1">
        <v>55952.3547023012</v>
      </c>
      <c r="G227" s="1">
        <v>58701.923185633001</v>
      </c>
      <c r="H227" s="1">
        <v>61656.035072334897</v>
      </c>
      <c r="I227" s="1">
        <v>64773.997011625499</v>
      </c>
      <c r="J227" s="1">
        <v>67999.051033828393</v>
      </c>
      <c r="K227" s="1">
        <v>72087.036207943704</v>
      </c>
      <c r="L227" s="1">
        <v>76733.361459785199</v>
      </c>
      <c r="M227" s="1">
        <v>80789.395678983405</v>
      </c>
      <c r="N227" s="1">
        <v>85304.997955059996</v>
      </c>
      <c r="O227" s="1">
        <v>91252.128919089999</v>
      </c>
      <c r="P227" s="1">
        <v>96697.838669620003</v>
      </c>
      <c r="Q227" s="1">
        <v>101850.53635696</v>
      </c>
      <c r="R227" s="1">
        <v>106779.3976444</v>
      </c>
      <c r="S227" s="1">
        <v>110863.11650701999</v>
      </c>
      <c r="T227" s="1">
        <v>115743.57276046999</v>
      </c>
      <c r="U227" s="1">
        <v>121858.52339324</v>
      </c>
      <c r="V227" s="1">
        <v>128052.57794939</v>
      </c>
      <c r="W227" s="1">
        <v>133283.85188773001</v>
      </c>
      <c r="X227" s="1">
        <v>130864.31798024</v>
      </c>
      <c r="Y227" s="1">
        <v>135424.5919918</v>
      </c>
      <c r="Z227" s="1">
        <v>142339.22173058</v>
      </c>
      <c r="AA227" s="1">
        <v>149226.1</v>
      </c>
      <c r="AB227" s="1">
        <v>156769.95000000001</v>
      </c>
      <c r="AC227" s="1">
        <v>164958.31</v>
      </c>
    </row>
    <row r="228" spans="1:29">
      <c r="A228" s="1">
        <f>VLOOKUP(B228,Legend!$C$32:$D$66,2,FALSE)</f>
        <v>64</v>
      </c>
      <c r="B228" s="1" t="s">
        <v>27</v>
      </c>
      <c r="C228" s="1" t="s">
        <v>130</v>
      </c>
      <c r="D228" s="1">
        <v>284816.53858671599</v>
      </c>
      <c r="E228" s="1">
        <v>298292.88091997401</v>
      </c>
      <c r="F228" s="1">
        <v>303482.60689570103</v>
      </c>
      <c r="G228" s="1">
        <v>309124.36072194402</v>
      </c>
      <c r="H228" s="1">
        <v>314537.23833027697</v>
      </c>
      <c r="I228" s="1">
        <v>324512.47193523101</v>
      </c>
      <c r="J228" s="1">
        <v>333752.80260878499</v>
      </c>
      <c r="K228" s="1">
        <v>339879.57057092199</v>
      </c>
      <c r="L228" s="1">
        <v>356532.13946364901</v>
      </c>
      <c r="M228" s="1">
        <v>364678.17094727303</v>
      </c>
      <c r="N228" s="1">
        <v>383293.00220871001</v>
      </c>
      <c r="O228" s="1">
        <v>407435.38338603999</v>
      </c>
      <c r="P228" s="1">
        <v>428877.71064392</v>
      </c>
      <c r="Q228" s="1">
        <v>438532.90673903999</v>
      </c>
      <c r="R228" s="1">
        <v>446029.04883898998</v>
      </c>
      <c r="S228" s="1">
        <v>440676.35622272</v>
      </c>
      <c r="T228" s="1">
        <v>439003.83238844998</v>
      </c>
      <c r="U228" s="1">
        <v>452741.90818068001</v>
      </c>
      <c r="V228" s="1">
        <v>464694.42672580999</v>
      </c>
      <c r="W228" s="1">
        <v>486523.18221395998</v>
      </c>
      <c r="X228" s="1">
        <v>472393.32937191002</v>
      </c>
      <c r="Y228" s="1">
        <v>484439.60613663</v>
      </c>
      <c r="Z228" s="1">
        <v>506158.90730507998</v>
      </c>
      <c r="AA228" s="1">
        <v>537630.01</v>
      </c>
      <c r="AB228" s="1">
        <v>570824</v>
      </c>
      <c r="AC228" s="1">
        <v>596660.64</v>
      </c>
    </row>
    <row r="229" spans="1:29">
      <c r="A229" s="1">
        <f>VLOOKUP(B229,Legend!$C$32:$D$66,2,FALSE)</f>
        <v>65</v>
      </c>
      <c r="B229" s="1" t="s">
        <v>46</v>
      </c>
      <c r="C229" s="1" t="s">
        <v>130</v>
      </c>
      <c r="N229" s="1">
        <v>34918.578156199997</v>
      </c>
      <c r="O229" s="1">
        <v>37829.038986250001</v>
      </c>
      <c r="P229" s="1">
        <v>40768.541326350001</v>
      </c>
      <c r="Q229" s="1">
        <v>44091.699279779998</v>
      </c>
      <c r="R229" s="1">
        <v>47696.354646719999</v>
      </c>
      <c r="S229" s="1">
        <v>49315.745048080003</v>
      </c>
      <c r="T229" s="1">
        <v>51064.737347360002</v>
      </c>
      <c r="U229" s="1">
        <v>54537.307240050002</v>
      </c>
      <c r="V229" s="1">
        <v>57459.308920659998</v>
      </c>
      <c r="W229" s="1">
        <v>61417.792061849999</v>
      </c>
      <c r="X229" s="1">
        <v>60746.20884988</v>
      </c>
      <c r="Y229" s="1">
        <v>63168.433508210001</v>
      </c>
      <c r="Z229" s="1">
        <v>66528.387984400004</v>
      </c>
      <c r="AA229" s="1">
        <v>69831.48</v>
      </c>
      <c r="AB229" s="1">
        <v>73134.41</v>
      </c>
      <c r="AC229" s="1">
        <v>76468.89</v>
      </c>
    </row>
    <row r="230" spans="1:29">
      <c r="A230" s="1">
        <f>VLOOKUP(B230,Legend!$C$32:$D$66,2,FALSE)</f>
        <v>71</v>
      </c>
      <c r="B230" s="1" t="s">
        <v>38</v>
      </c>
      <c r="C230" s="1" t="s">
        <v>130</v>
      </c>
      <c r="D230" s="1">
        <v>29734.554179829898</v>
      </c>
      <c r="E230" s="1">
        <v>30759.460653790102</v>
      </c>
      <c r="F230" s="1">
        <v>31779.675209051598</v>
      </c>
      <c r="G230" s="1">
        <v>32796.635457429198</v>
      </c>
      <c r="H230" s="1">
        <v>34194.613356796901</v>
      </c>
      <c r="I230" s="1">
        <v>35869.369652759298</v>
      </c>
      <c r="J230" s="1">
        <v>37919.583355483701</v>
      </c>
      <c r="K230" s="1">
        <v>40371.851704861801</v>
      </c>
      <c r="L230" s="1">
        <v>44756.178468609702</v>
      </c>
      <c r="M230" s="1">
        <v>48267.395187693903</v>
      </c>
      <c r="N230" s="1">
        <v>51721.334141109997</v>
      </c>
      <c r="O230" s="1">
        <v>54910.897493069999</v>
      </c>
      <c r="P230" s="1">
        <v>58677.586673860002</v>
      </c>
      <c r="Q230" s="1">
        <v>62422.498490179998</v>
      </c>
      <c r="R230" s="1">
        <v>66360.757018770004</v>
      </c>
      <c r="S230" s="1">
        <v>70425.33021955</v>
      </c>
      <c r="T230" s="1">
        <v>74764.660480909995</v>
      </c>
      <c r="U230" s="1">
        <v>79484.025023979993</v>
      </c>
      <c r="V230" s="1">
        <v>84249.720168309999</v>
      </c>
      <c r="W230" s="1">
        <v>89009.264777129996</v>
      </c>
      <c r="X230" s="1">
        <v>88126.37398602</v>
      </c>
      <c r="Y230" s="1">
        <v>91790.692024510005</v>
      </c>
      <c r="Z230" s="1">
        <v>96768.151890130001</v>
      </c>
      <c r="AA230" s="1">
        <v>102070.48</v>
      </c>
      <c r="AB230" s="1">
        <v>107575.01</v>
      </c>
      <c r="AC230" s="1">
        <v>113659.42</v>
      </c>
    </row>
    <row r="231" spans="1:29">
      <c r="A231" s="1">
        <f>VLOOKUP(B231,Legend!$C$32:$D$66,2,FALSE)</f>
        <v>72</v>
      </c>
      <c r="B231" s="1" t="s">
        <v>36</v>
      </c>
      <c r="C231" s="1" t="s">
        <v>130</v>
      </c>
      <c r="D231" s="1">
        <v>25397.7477229865</v>
      </c>
      <c r="E231" s="1">
        <v>26691.836245911702</v>
      </c>
      <c r="F231" s="1">
        <v>28190.752182436401</v>
      </c>
      <c r="G231" s="1">
        <v>29941.995148960799</v>
      </c>
      <c r="H231" s="1">
        <v>32081.8094086985</v>
      </c>
      <c r="I231" s="1">
        <v>34509.562725378601</v>
      </c>
      <c r="J231" s="1">
        <v>37209.060595759896</v>
      </c>
      <c r="K231" s="1">
        <v>40995.8633289012</v>
      </c>
      <c r="L231" s="1">
        <v>44185.650560130904</v>
      </c>
      <c r="M231" s="1">
        <v>47592.394846924697</v>
      </c>
      <c r="N231" s="1">
        <v>51752.070612590003</v>
      </c>
      <c r="O231" s="1">
        <v>56833.828645330002</v>
      </c>
      <c r="P231" s="1">
        <v>62249.529248639999</v>
      </c>
      <c r="Q231" s="1">
        <v>68219.319057770001</v>
      </c>
      <c r="R231" s="1">
        <v>71677.530844260007</v>
      </c>
      <c r="S231" s="1">
        <v>82787.201817790003</v>
      </c>
      <c r="T231" s="1">
        <v>91014.564878339996</v>
      </c>
      <c r="U231" s="1">
        <v>97474.859096810003</v>
      </c>
      <c r="V231" s="1">
        <v>117555.83364</v>
      </c>
      <c r="W231" s="1">
        <v>127935.05653</v>
      </c>
      <c r="X231" s="1">
        <v>134152.6948</v>
      </c>
      <c r="Y231" s="1">
        <v>149815.85604000001</v>
      </c>
      <c r="Z231" s="1">
        <v>172624.82475999999</v>
      </c>
      <c r="AA231" s="1">
        <v>193181.37</v>
      </c>
      <c r="AB231" s="1">
        <v>212281.54</v>
      </c>
      <c r="AC231" s="1">
        <v>230265.23</v>
      </c>
    </row>
    <row r="232" spans="1:29">
      <c r="A232" s="1">
        <f>VLOOKUP(B232,Legend!$C$32:$D$66,2,FALSE)</f>
        <v>73</v>
      </c>
      <c r="B232" s="1" t="s">
        <v>35</v>
      </c>
      <c r="C232" s="1" t="s">
        <v>130</v>
      </c>
      <c r="D232" s="1">
        <v>103190.000679818</v>
      </c>
      <c r="E232" s="1">
        <v>108423.41331152301</v>
      </c>
      <c r="F232" s="1">
        <v>112857.31191133799</v>
      </c>
      <c r="G232" s="1">
        <v>118778.29800731401</v>
      </c>
      <c r="H232" s="1">
        <v>125087.19336628</v>
      </c>
      <c r="I232" s="1">
        <v>122170.255852007</v>
      </c>
      <c r="J232" s="1">
        <v>130374.55483561401</v>
      </c>
      <c r="K232" s="1">
        <v>138642.100222484</v>
      </c>
      <c r="L232" s="1">
        <v>149434.277020643</v>
      </c>
      <c r="M232" s="1">
        <v>158746.71514046</v>
      </c>
      <c r="N232" s="1">
        <v>171740.74409969</v>
      </c>
      <c r="O232" s="1">
        <v>185708.47411154999</v>
      </c>
      <c r="P232" s="1">
        <v>202184.58770060001</v>
      </c>
      <c r="Q232" s="1">
        <v>217589.13209701001</v>
      </c>
      <c r="R232" s="1">
        <v>233988.050609</v>
      </c>
      <c r="S232" s="1">
        <v>250802.99305429999</v>
      </c>
      <c r="T232" s="1">
        <v>269401.31345048</v>
      </c>
      <c r="U232" s="1">
        <v>288814.17111205001</v>
      </c>
      <c r="V232" s="1">
        <v>309156.19323397003</v>
      </c>
      <c r="W232" s="1">
        <v>330506.37625859003</v>
      </c>
      <c r="X232" s="1">
        <v>328154.57191111997</v>
      </c>
      <c r="Y232" s="1">
        <v>343395.40859796997</v>
      </c>
      <c r="Z232" s="1">
        <v>360912.81940538</v>
      </c>
      <c r="AA232" s="1">
        <v>377207.79</v>
      </c>
      <c r="AB232" s="1">
        <v>396141.74</v>
      </c>
      <c r="AC232" s="1">
        <v>417633.93</v>
      </c>
    </row>
    <row r="233" spans="1:29">
      <c r="A233" s="1">
        <f>VLOOKUP(B233,Legend!$C$32:$D$66,2,FALSE)</f>
        <v>74</v>
      </c>
      <c r="B233" s="1" t="s">
        <v>37</v>
      </c>
      <c r="C233" s="1" t="s">
        <v>130</v>
      </c>
      <c r="D233" s="1">
        <v>23983.3623091013</v>
      </c>
      <c r="E233" s="1">
        <v>25185.023805814399</v>
      </c>
      <c r="F233" s="1">
        <v>26863.2367254608</v>
      </c>
      <c r="G233" s="1">
        <v>28896.652249514002</v>
      </c>
      <c r="H233" s="1">
        <v>31066.780156597499</v>
      </c>
      <c r="I233" s="1">
        <v>33337.241376637299</v>
      </c>
      <c r="J233" s="1">
        <v>35897.588372171602</v>
      </c>
      <c r="K233" s="1">
        <v>38756.618021536196</v>
      </c>
      <c r="L233" s="1">
        <v>41576.094591067798</v>
      </c>
      <c r="M233" s="1">
        <v>44724.191791488302</v>
      </c>
      <c r="N233" s="1">
        <v>48401.152371819997</v>
      </c>
      <c r="O233" s="1">
        <v>53546.689523050001</v>
      </c>
      <c r="P233" s="1">
        <v>59785.399055989998</v>
      </c>
      <c r="Q233" s="1">
        <v>64268.714308039998</v>
      </c>
      <c r="R233" s="1">
        <v>68291.784519020002</v>
      </c>
      <c r="S233" s="1">
        <v>72993.327935060006</v>
      </c>
      <c r="T233" s="1">
        <v>77745.512418629994</v>
      </c>
      <c r="U233" s="1">
        <v>83001.687013219998</v>
      </c>
      <c r="V233" s="1">
        <v>88310.047915489995</v>
      </c>
      <c r="W233" s="1">
        <v>94053.524007440006</v>
      </c>
      <c r="X233" s="1">
        <v>93445.720366430003</v>
      </c>
      <c r="Y233" s="1">
        <v>97275.324713669994</v>
      </c>
      <c r="Z233" s="1">
        <v>102656.42662102</v>
      </c>
      <c r="AA233" s="1">
        <v>108152.98</v>
      </c>
      <c r="AB233" s="1">
        <v>113989.49</v>
      </c>
      <c r="AC233" s="1">
        <v>120590.21</v>
      </c>
    </row>
    <row r="234" spans="1:29">
      <c r="A234" s="1">
        <f>VLOOKUP(B234,Legend!$C$32:$D$66,2,FALSE)</f>
        <v>75</v>
      </c>
      <c r="B234" s="1" t="s">
        <v>12</v>
      </c>
      <c r="C234" s="1" t="s">
        <v>130</v>
      </c>
      <c r="D234" s="1">
        <v>7814.9387783147104</v>
      </c>
      <c r="E234" s="1">
        <v>8248.2965015077807</v>
      </c>
      <c r="F234" s="1">
        <v>8780.6324512977098</v>
      </c>
      <c r="G234" s="1">
        <v>9384.5995005546501</v>
      </c>
      <c r="H234" s="1">
        <v>10034.795988505201</v>
      </c>
      <c r="I234" s="1">
        <v>10755.989108612101</v>
      </c>
      <c r="J234" s="1">
        <v>11541.540108110999</v>
      </c>
      <c r="K234" s="1">
        <v>12408.3023611149</v>
      </c>
      <c r="L234" s="1">
        <v>13370.8267688305</v>
      </c>
      <c r="M234" s="1">
        <v>14379.0155356632</v>
      </c>
      <c r="N234" s="1">
        <v>15475.736813330001</v>
      </c>
      <c r="O234" s="1">
        <v>16669.089604559998</v>
      </c>
      <c r="P234" s="1">
        <v>17987.074868299998</v>
      </c>
      <c r="Q234" s="1">
        <v>19367.572585680002</v>
      </c>
      <c r="R234" s="1">
        <v>20775.803252180001</v>
      </c>
      <c r="S234" s="1">
        <v>22068.802614799999</v>
      </c>
      <c r="T234" s="1">
        <v>23507.209013219999</v>
      </c>
      <c r="U234" s="1">
        <v>25090.130636260001</v>
      </c>
      <c r="V234" s="1">
        <v>26719.272121860002</v>
      </c>
      <c r="W234" s="1">
        <v>28429.970015999999</v>
      </c>
      <c r="X234" s="1">
        <v>28425.375458099999</v>
      </c>
      <c r="Y234" s="1">
        <v>29107.910850299999</v>
      </c>
      <c r="Z234" s="1">
        <v>30282.214825890002</v>
      </c>
      <c r="AA234" s="1">
        <v>31643.78</v>
      </c>
      <c r="AB234" s="1">
        <v>32951.94</v>
      </c>
      <c r="AC234" s="1">
        <v>34834.480000000003</v>
      </c>
    </row>
    <row r="235" spans="1:29">
      <c r="A235" s="1">
        <f>VLOOKUP(B235,Legend!$C$32:$D$66,2,FALSE)</f>
        <v>76</v>
      </c>
      <c r="B235" s="1" t="s">
        <v>34</v>
      </c>
      <c r="C235" s="1" t="s">
        <v>130</v>
      </c>
      <c r="H235" s="1">
        <v>10583.952324299828</v>
      </c>
      <c r="I235" s="1">
        <v>11254.051975222301</v>
      </c>
      <c r="J235" s="1">
        <v>12030.8218048326</v>
      </c>
      <c r="K235" s="1">
        <v>12924.366551384101</v>
      </c>
      <c r="L235" s="1">
        <v>14484.520451165999</v>
      </c>
      <c r="M235" s="1">
        <v>15357.390756847501</v>
      </c>
      <c r="N235" s="1">
        <v>17183.831830849998</v>
      </c>
      <c r="O235" s="1">
        <v>19027.504487490001</v>
      </c>
      <c r="P235" s="1">
        <v>20786.885756610001</v>
      </c>
      <c r="Q235" s="1">
        <v>22227.392552189998</v>
      </c>
      <c r="R235" s="1">
        <v>24195.65499721</v>
      </c>
      <c r="S235" s="1">
        <v>25964.432135049999</v>
      </c>
      <c r="T235" s="1">
        <v>27524.767062700001</v>
      </c>
      <c r="U235" s="1">
        <v>29282.487061039999</v>
      </c>
      <c r="V235" s="1">
        <v>31114.14270787</v>
      </c>
      <c r="W235" s="1">
        <v>32843.808455840001</v>
      </c>
      <c r="X235" s="1">
        <v>32074.01893007</v>
      </c>
      <c r="Y235" s="1">
        <v>32898.297968209998</v>
      </c>
      <c r="Z235" s="1">
        <v>33643.018774279997</v>
      </c>
      <c r="AA235" s="1">
        <v>35402.49</v>
      </c>
      <c r="AB235" s="1">
        <v>37087.410000000003</v>
      </c>
      <c r="AC235" s="1">
        <v>39075.71</v>
      </c>
    </row>
    <row r="236" spans="1:29">
      <c r="A236" s="1">
        <f>VLOOKUP(B236,Legend!$C$32:$D$66,2,FALSE)</f>
        <v>81</v>
      </c>
      <c r="B236" s="1" t="s">
        <v>13</v>
      </c>
      <c r="C236" s="1" t="s">
        <v>130</v>
      </c>
      <c r="D236" s="1">
        <v>12004.061395515801</v>
      </c>
      <c r="E236" s="1">
        <v>11999.861018703101</v>
      </c>
      <c r="F236" s="1">
        <v>12344.2485698001</v>
      </c>
      <c r="G236" s="1">
        <v>12876.2356128463</v>
      </c>
      <c r="H236" s="1">
        <v>13446.3901665587</v>
      </c>
      <c r="I236" s="1">
        <v>14128.0231110073</v>
      </c>
      <c r="J236" s="1">
        <v>14912.049018141901</v>
      </c>
      <c r="K236" s="1">
        <v>15750.2215276194</v>
      </c>
      <c r="L236" s="1">
        <v>16416.889331413899</v>
      </c>
      <c r="M236" s="1">
        <v>17309.277105740799</v>
      </c>
      <c r="N236" s="1">
        <v>18428.58454584</v>
      </c>
      <c r="O236" s="1">
        <v>19597.390138610001</v>
      </c>
      <c r="P236" s="1">
        <v>21000.078813510001</v>
      </c>
      <c r="Q236" s="1">
        <v>22100.937105190002</v>
      </c>
      <c r="R236" s="1">
        <v>23567.734258889999</v>
      </c>
      <c r="S236" s="1">
        <v>24859.196568560001</v>
      </c>
      <c r="T236" s="1">
        <v>26284.228020800001</v>
      </c>
      <c r="U236" s="1">
        <v>27814.053222949999</v>
      </c>
      <c r="V236" s="1">
        <v>29457.133274510001</v>
      </c>
      <c r="W236" s="1">
        <v>31049.449150929999</v>
      </c>
      <c r="X236" s="1">
        <v>30765.888775889998</v>
      </c>
      <c r="Y236" s="1">
        <v>31881.23002391</v>
      </c>
      <c r="Z236" s="1">
        <v>33575.071623290001</v>
      </c>
      <c r="AA236" s="1">
        <v>35322.910000000003</v>
      </c>
      <c r="AB236" s="1">
        <v>37210.06</v>
      </c>
      <c r="AC236" s="1">
        <v>38906.06</v>
      </c>
    </row>
    <row r="237" spans="1:29">
      <c r="A237" s="1">
        <f>VLOOKUP(B237,Legend!$C$32:$D$66,2,FALSE)</f>
        <v>82</v>
      </c>
      <c r="B237" s="1" t="s">
        <v>30</v>
      </c>
      <c r="C237" s="1" t="s">
        <v>130</v>
      </c>
      <c r="D237" s="1">
        <v>9277.8137918205302</v>
      </c>
      <c r="E237" s="1">
        <v>9432.8777301477203</v>
      </c>
      <c r="F237" s="1">
        <v>9663.2549128166502</v>
      </c>
      <c r="G237" s="1">
        <v>10032.742933425299</v>
      </c>
      <c r="H237" s="1">
        <v>10504.308337786601</v>
      </c>
      <c r="I237" s="1">
        <v>11040.8024164864</v>
      </c>
      <c r="J237" s="1">
        <v>11646.370507633599</v>
      </c>
      <c r="K237" s="1">
        <v>15944.263830940899</v>
      </c>
      <c r="L237" s="1">
        <v>14983.9118774053</v>
      </c>
      <c r="M237" s="1">
        <v>13880.1803615476</v>
      </c>
      <c r="N237" s="1">
        <v>14983.91187627</v>
      </c>
      <c r="O237" s="1">
        <v>16002.45201943</v>
      </c>
      <c r="P237" s="1">
        <v>17120.069793719998</v>
      </c>
      <c r="Q237" s="1">
        <v>18208.74324059</v>
      </c>
      <c r="R237" s="1">
        <v>19208.7608979</v>
      </c>
      <c r="S237" s="1">
        <v>20380.3039188</v>
      </c>
      <c r="T237" s="1">
        <v>21556.67978604</v>
      </c>
      <c r="U237" s="1">
        <v>23210.864648980001</v>
      </c>
      <c r="V237" s="1">
        <v>25034.082196219999</v>
      </c>
      <c r="W237" s="1">
        <v>26597.55286896</v>
      </c>
      <c r="X237" s="1">
        <v>28031.44388273</v>
      </c>
      <c r="Y237" s="1">
        <v>32738.670027</v>
      </c>
      <c r="Z237" s="1">
        <v>40248.382652</v>
      </c>
      <c r="AA237" s="1">
        <v>48929.43</v>
      </c>
      <c r="AB237" s="1">
        <v>55740.95</v>
      </c>
      <c r="AC237" s="1">
        <v>74790.27</v>
      </c>
    </row>
    <row r="238" spans="1:29">
      <c r="A238" s="1">
        <f>VLOOKUP(B238,Legend!$C$32:$D$66,2,FALSE)</f>
        <v>91</v>
      </c>
      <c r="B238" s="1" t="s">
        <v>33</v>
      </c>
      <c r="C238" s="1" t="s">
        <v>130</v>
      </c>
      <c r="F238" s="1">
        <v>18987.335720098799</v>
      </c>
      <c r="G238" s="1">
        <v>20445.293797451901</v>
      </c>
      <c r="H238" s="1">
        <v>21955.6591306154</v>
      </c>
      <c r="I238" s="1">
        <v>23449.588239114299</v>
      </c>
      <c r="J238" s="1">
        <v>24516.926624125699</v>
      </c>
      <c r="K238" s="1">
        <v>26219.824722150999</v>
      </c>
      <c r="L238" s="1">
        <v>28275.291366682301</v>
      </c>
      <c r="M238" s="1">
        <v>32196.342749763</v>
      </c>
      <c r="N238" s="1">
        <v>41361.671920000001</v>
      </c>
      <c r="O238" s="1">
        <v>42867.187119419999</v>
      </c>
      <c r="P238" s="1">
        <v>44423.335147049998</v>
      </c>
      <c r="Q238" s="1">
        <v>47694.23495772</v>
      </c>
      <c r="R238" s="1">
        <v>50259.907956299998</v>
      </c>
      <c r="S238" s="1">
        <v>52346.485935240002</v>
      </c>
      <c r="T238" s="1">
        <v>54711.282179529997</v>
      </c>
      <c r="U238" s="1">
        <v>56907.958542920001</v>
      </c>
      <c r="V238" s="1">
        <v>60465.521384940002</v>
      </c>
      <c r="W238" s="1">
        <v>62074.519170599997</v>
      </c>
      <c r="X238" s="1">
        <v>61604.125494929998</v>
      </c>
      <c r="Y238" s="1">
        <v>61289.39990982</v>
      </c>
      <c r="Z238" s="1">
        <v>62530.525547719997</v>
      </c>
      <c r="AA238" s="1">
        <v>64975.009999999995</v>
      </c>
      <c r="AB238" s="1">
        <v>74359.959999999992</v>
      </c>
      <c r="AC238" s="1">
        <v>78558.64</v>
      </c>
    </row>
    <row r="239" spans="1:29">
      <c r="A239" s="1">
        <f>VLOOKUP(B239,Legend!$C$32:$D$66,2,FALSE)</f>
        <v>94</v>
      </c>
      <c r="B239" s="1" t="s">
        <v>14</v>
      </c>
      <c r="C239" s="1" t="s">
        <v>130</v>
      </c>
      <c r="D239" s="1">
        <v>110227.629514336</v>
      </c>
      <c r="E239" s="1">
        <v>119310.27922717</v>
      </c>
      <c r="F239" s="1">
        <v>104272.72156753299</v>
      </c>
      <c r="G239" s="1">
        <v>103978.318814217</v>
      </c>
      <c r="H239" s="1">
        <v>80548.160692155405</v>
      </c>
      <c r="I239" s="1">
        <v>109863.857060864</v>
      </c>
      <c r="J239" s="1">
        <v>91030.535231671194</v>
      </c>
      <c r="K239" s="1">
        <v>94979.532156824003</v>
      </c>
      <c r="L239" s="1">
        <v>93651.5418356109</v>
      </c>
      <c r="M239" s="1">
        <v>114460.655710266</v>
      </c>
      <c r="N239" s="1">
        <v>110808.17661209</v>
      </c>
      <c r="O239" s="1">
        <v>106066.72339046</v>
      </c>
      <c r="P239" s="1">
        <v>107890.94259440999</v>
      </c>
      <c r="Q239" s="1">
        <v>117118.81889753</v>
      </c>
      <c r="R239" s="1">
        <v>121391.23394744001</v>
      </c>
      <c r="S239" s="1">
        <v>130311.60486250999</v>
      </c>
      <c r="T239" s="1">
        <v>142224.9306734</v>
      </c>
      <c r="U239" s="1">
        <v>148818.2898576</v>
      </c>
      <c r="V239" s="1">
        <v>159711.85258502999</v>
      </c>
      <c r="W239" s="1">
        <v>134565.88856794001</v>
      </c>
      <c r="X239" s="1">
        <v>137787.28678868999</v>
      </c>
      <c r="Y239" s="1">
        <v>158675.15137044</v>
      </c>
      <c r="Z239" s="1">
        <v>298258.96787567995</v>
      </c>
      <c r="AA239" s="1">
        <v>181926.24</v>
      </c>
      <c r="AB239" s="1">
        <v>189919.90000000002</v>
      </c>
      <c r="AC239" s="1">
        <v>170132.28</v>
      </c>
    </row>
    <row r="240" spans="1:29">
      <c r="A240" s="1">
        <f>VLOOKUP(B240,Legend!$C$32:$D$66,2,FALSE)</f>
        <v>11</v>
      </c>
      <c r="B240" s="1" t="s">
        <v>3</v>
      </c>
      <c r="C240" s="1" t="s">
        <v>131</v>
      </c>
      <c r="D240" s="1">
        <v>1734.7070000000001</v>
      </c>
      <c r="E240" s="1">
        <v>4002.7</v>
      </c>
      <c r="F240" s="1">
        <v>4077.4</v>
      </c>
      <c r="G240" s="1">
        <v>4153.5</v>
      </c>
      <c r="H240" s="1">
        <v>4230.8</v>
      </c>
      <c r="I240" s="1">
        <v>3970.8530000000001</v>
      </c>
      <c r="J240" s="1">
        <v>4153.6000000000004</v>
      </c>
      <c r="K240" s="1">
        <v>4223.8</v>
      </c>
      <c r="L240" s="1">
        <v>4293.8999999999996</v>
      </c>
      <c r="M240" s="1">
        <v>4363.5</v>
      </c>
      <c r="N240" s="1">
        <v>4494.41</v>
      </c>
      <c r="O240" s="1">
        <v>4619</v>
      </c>
      <c r="P240" s="1">
        <v>4715.1000000000004</v>
      </c>
      <c r="Q240" s="1">
        <v>4811.1000000000004</v>
      </c>
      <c r="R240" s="1">
        <v>4906.8</v>
      </c>
      <c r="S240" s="1">
        <v>5018.7</v>
      </c>
      <c r="T240" s="1">
        <v>5094.5</v>
      </c>
      <c r="U240" s="1">
        <v>5169.3999999999996</v>
      </c>
      <c r="V240" s="1">
        <v>5243.4</v>
      </c>
      <c r="W240" s="1">
        <v>5316.3</v>
      </c>
      <c r="X240" s="1">
        <v>5274.8710000000001</v>
      </c>
      <c r="Y240" s="1">
        <v>5334.9</v>
      </c>
      <c r="Z240" s="1">
        <v>5409.19</v>
      </c>
      <c r="AA240" s="1">
        <v>5482.53</v>
      </c>
      <c r="AB240" s="1">
        <v>5554.82</v>
      </c>
      <c r="AC240" s="1">
        <v>5625.96</v>
      </c>
    </row>
    <row r="241" spans="1:29">
      <c r="A241" s="1">
        <f>VLOOKUP(B241,Legend!$C$32:$D$66,2,FALSE)</f>
        <v>12</v>
      </c>
      <c r="B241" s="1" t="s">
        <v>41</v>
      </c>
      <c r="C241" s="1" t="s">
        <v>131</v>
      </c>
      <c r="D241" s="1">
        <v>11506.777</v>
      </c>
      <c r="E241" s="1">
        <v>11839.3</v>
      </c>
      <c r="F241" s="1">
        <v>12039.2</v>
      </c>
      <c r="G241" s="1">
        <v>12242.4</v>
      </c>
      <c r="H241" s="1">
        <v>12448.7</v>
      </c>
      <c r="I241" s="1">
        <v>11688.986999999999</v>
      </c>
      <c r="J241" s="1">
        <v>12625.9</v>
      </c>
      <c r="K241" s="1">
        <v>12834.4</v>
      </c>
      <c r="L241" s="1">
        <v>13042.3</v>
      </c>
      <c r="M241" s="1">
        <v>13248.4</v>
      </c>
      <c r="N241" s="1">
        <v>12982.204</v>
      </c>
      <c r="O241" s="1">
        <v>13220.9</v>
      </c>
      <c r="P241" s="1">
        <v>13408.2</v>
      </c>
      <c r="Q241" s="1">
        <v>13590.3</v>
      </c>
      <c r="R241" s="1">
        <v>13766.9</v>
      </c>
      <c r="S241" s="1">
        <v>13961.6</v>
      </c>
      <c r="T241" s="1">
        <v>14136.7</v>
      </c>
      <c r="U241" s="1">
        <v>14308.3</v>
      </c>
      <c r="V241" s="1">
        <v>14475.8</v>
      </c>
      <c r="W241" s="1">
        <v>14639.4</v>
      </c>
      <c r="X241" s="1">
        <v>14799.361000000001</v>
      </c>
      <c r="Y241" s="1">
        <v>14970.5</v>
      </c>
      <c r="Z241" s="1">
        <v>15180.53</v>
      </c>
      <c r="AA241" s="1">
        <v>15386.64</v>
      </c>
      <c r="AB241" s="1">
        <v>15588.53</v>
      </c>
      <c r="AC241" s="1">
        <v>15785.84</v>
      </c>
    </row>
    <row r="242" spans="1:29">
      <c r="A242" s="1">
        <f>VLOOKUP(B242,Legend!$C$32:$D$66,2,FALSE)</f>
        <v>13</v>
      </c>
      <c r="B242" s="1" t="s">
        <v>39</v>
      </c>
      <c r="C242" s="1" t="s">
        <v>131</v>
      </c>
      <c r="D242" s="1">
        <v>4241.6049999999996</v>
      </c>
      <c r="E242" s="1">
        <v>4305.1000000000004</v>
      </c>
      <c r="F242" s="1">
        <v>4362.3999999999996</v>
      </c>
      <c r="G242" s="1">
        <v>4420.3</v>
      </c>
      <c r="H242" s="1">
        <v>4478.8</v>
      </c>
      <c r="I242" s="1">
        <v>4555.8100000000004</v>
      </c>
      <c r="J242" s="1">
        <v>4632.5</v>
      </c>
      <c r="K242" s="1">
        <v>4697.8</v>
      </c>
      <c r="L242" s="1">
        <v>4763.1000000000004</v>
      </c>
      <c r="M242" s="1">
        <v>4828</v>
      </c>
      <c r="N242" s="1">
        <v>4846.9089999999997</v>
      </c>
      <c r="O242" s="1">
        <v>4933.1000000000004</v>
      </c>
      <c r="P242" s="1">
        <v>5000.2</v>
      </c>
      <c r="Q242" s="1">
        <v>5066.5</v>
      </c>
      <c r="R242" s="1">
        <v>5131.8999999999996</v>
      </c>
      <c r="S242" s="1">
        <v>5200.8999999999996</v>
      </c>
      <c r="T242" s="1">
        <v>5272.4</v>
      </c>
      <c r="U242" s="1">
        <v>5342.9</v>
      </c>
      <c r="V242" s="1">
        <v>5412.1</v>
      </c>
      <c r="W242" s="1">
        <v>5479.5</v>
      </c>
      <c r="X242" s="1">
        <v>5534.4719999999998</v>
      </c>
      <c r="Y242" s="1">
        <v>5597.31</v>
      </c>
      <c r="Z242" s="1">
        <v>5677.55</v>
      </c>
      <c r="AA242" s="1">
        <v>5757.21</v>
      </c>
      <c r="AB242" s="1">
        <v>5836.16</v>
      </c>
      <c r="AC242" s="1">
        <v>5914.3</v>
      </c>
    </row>
    <row r="243" spans="1:29">
      <c r="A243" s="1">
        <f>VLOOKUP(B243,Legend!$C$32:$D$66,2,FALSE)</f>
        <v>14</v>
      </c>
      <c r="B243" s="1" t="s">
        <v>4</v>
      </c>
      <c r="C243" s="1" t="s">
        <v>131</v>
      </c>
      <c r="D243" s="1">
        <v>4755.0609999999997</v>
      </c>
      <c r="E243" s="1">
        <v>5050.8</v>
      </c>
      <c r="F243" s="1">
        <v>5155.5</v>
      </c>
      <c r="G243" s="1">
        <v>3823.7570626176102</v>
      </c>
      <c r="H243" s="1">
        <v>3887.9744462688477</v>
      </c>
      <c r="I243" s="1">
        <v>4563.4059999999999</v>
      </c>
      <c r="J243" s="1">
        <v>4953</v>
      </c>
      <c r="K243" s="1">
        <v>5071</v>
      </c>
      <c r="L243" s="1">
        <v>5189.2</v>
      </c>
      <c r="M243" s="1">
        <v>5306.5</v>
      </c>
      <c r="N243" s="1">
        <v>5538.3670000000002</v>
      </c>
      <c r="O243" s="1">
        <v>5726.2</v>
      </c>
      <c r="P243" s="1">
        <v>5879.1</v>
      </c>
      <c r="Q243" s="1">
        <v>6033.3</v>
      </c>
      <c r="R243" s="1">
        <v>6188.4</v>
      </c>
      <c r="S243" s="1">
        <v>6356.9</v>
      </c>
      <c r="T243" s="1">
        <v>6478.4</v>
      </c>
      <c r="U243" s="1">
        <v>6598.7</v>
      </c>
      <c r="V243" s="1">
        <v>6717.8</v>
      </c>
      <c r="W243" s="1">
        <v>6835.1</v>
      </c>
      <c r="X243" s="1">
        <v>6394.0870000000004</v>
      </c>
      <c r="Y243" s="1">
        <v>6466.76</v>
      </c>
      <c r="Z243" s="1">
        <v>6555.75</v>
      </c>
      <c r="AA243" s="1">
        <v>6642.87</v>
      </c>
      <c r="AB243" s="1">
        <v>6728.05</v>
      </c>
      <c r="AC243" s="1">
        <v>6811.16</v>
      </c>
    </row>
    <row r="244" spans="1:29">
      <c r="A244" s="1">
        <f>VLOOKUP(B244,Legend!$C$32:$D$66,2,FALSE)</f>
        <v>15</v>
      </c>
      <c r="B244" s="1" t="s">
        <v>5</v>
      </c>
      <c r="C244" s="1" t="s">
        <v>131</v>
      </c>
      <c r="D244" s="1">
        <v>2407.1660000000002</v>
      </c>
      <c r="E244" s="1">
        <v>2447.1999999999998</v>
      </c>
      <c r="F244" s="1">
        <v>2487.8000000000002</v>
      </c>
      <c r="G244" s="1">
        <v>2529.1</v>
      </c>
      <c r="H244" s="1">
        <v>2571.1</v>
      </c>
      <c r="I244" s="1">
        <v>2627.2159999999999</v>
      </c>
      <c r="J244" s="1">
        <v>2696.2</v>
      </c>
      <c r="K244" s="1">
        <v>2742.2</v>
      </c>
      <c r="L244" s="1">
        <v>2788.3</v>
      </c>
      <c r="M244" s="1">
        <v>2834.2</v>
      </c>
      <c r="N244" s="1">
        <v>3092.2649999999999</v>
      </c>
      <c r="O244" s="1">
        <v>3167.6</v>
      </c>
      <c r="P244" s="1">
        <v>3227.1</v>
      </c>
      <c r="Q244" s="1">
        <v>3286.1</v>
      </c>
      <c r="R244" s="1">
        <v>3344.4</v>
      </c>
      <c r="S244" s="1">
        <v>3403.8</v>
      </c>
      <c r="T244" s="1">
        <v>3446.1</v>
      </c>
      <c r="U244" s="1">
        <v>3486.9</v>
      </c>
      <c r="V244" s="1">
        <v>3527.2</v>
      </c>
      <c r="W244" s="1">
        <v>3566.2</v>
      </c>
      <c r="X244" s="1">
        <v>3548.2280000000001</v>
      </c>
      <c r="Y244" s="1">
        <v>3586.4</v>
      </c>
      <c r="Z244" s="1">
        <v>3633.19</v>
      </c>
      <c r="AA244" s="1">
        <v>3679.17</v>
      </c>
      <c r="AB244" s="1">
        <v>3724.28</v>
      </c>
      <c r="AC244" s="1">
        <v>3768.48</v>
      </c>
    </row>
    <row r="245" spans="1:29">
      <c r="A245" s="1">
        <f>VLOOKUP(B245,Legend!$C$32:$D$66,2,FALSE)</f>
        <v>16</v>
      </c>
      <c r="B245" s="1" t="s">
        <v>40</v>
      </c>
      <c r="C245" s="1" t="s">
        <v>131</v>
      </c>
      <c r="D245" s="1">
        <v>6857.1859999999997</v>
      </c>
      <c r="E245" s="1">
        <v>7013.4</v>
      </c>
      <c r="F245" s="1">
        <v>7129.2</v>
      </c>
      <c r="G245" s="1">
        <v>7246.9</v>
      </c>
      <c r="H245" s="1">
        <v>7366.4</v>
      </c>
      <c r="I245" s="1">
        <v>6767.6450000000004</v>
      </c>
      <c r="J245" s="1">
        <v>6917.9</v>
      </c>
      <c r="K245" s="1">
        <v>7020</v>
      </c>
      <c r="L245" s="1">
        <v>7121.8</v>
      </c>
      <c r="M245" s="1">
        <v>7222.6</v>
      </c>
      <c r="N245" s="1">
        <v>7450.3940000000002</v>
      </c>
      <c r="O245" s="1">
        <v>7598.5</v>
      </c>
      <c r="P245" s="1">
        <v>7714.3</v>
      </c>
      <c r="Q245" s="1">
        <v>7828.7</v>
      </c>
      <c r="R245" s="1">
        <v>7941.5</v>
      </c>
      <c r="S245" s="1">
        <v>8062.8</v>
      </c>
      <c r="T245" s="1">
        <v>8174.1</v>
      </c>
      <c r="U245" s="1">
        <v>8283.7999999999993</v>
      </c>
      <c r="V245" s="1">
        <v>8391.6</v>
      </c>
      <c r="W245" s="1">
        <v>8497.2999999999993</v>
      </c>
      <c r="X245" s="1">
        <v>8467.4320000000007</v>
      </c>
      <c r="Y245" s="1">
        <v>8548.61</v>
      </c>
      <c r="Z245" s="1">
        <v>8647.26</v>
      </c>
      <c r="AA245" s="1">
        <v>8743.52</v>
      </c>
      <c r="AB245" s="1">
        <v>8837.2999999999993</v>
      </c>
      <c r="AC245" s="1">
        <v>8928.52</v>
      </c>
    </row>
    <row r="246" spans="1:29">
      <c r="A246" s="1">
        <f>VLOOKUP(B246,Legend!$C$32:$D$66,2,FALSE)</f>
        <v>17</v>
      </c>
      <c r="B246" s="1" t="s">
        <v>6</v>
      </c>
      <c r="C246" s="1" t="s">
        <v>131</v>
      </c>
      <c r="D246" s="1">
        <v>1562.085</v>
      </c>
      <c r="E246" s="1">
        <v>1589.6</v>
      </c>
      <c r="F246" s="1">
        <v>1614.9</v>
      </c>
      <c r="G246" s="1">
        <v>1640.5</v>
      </c>
      <c r="H246" s="1">
        <v>1666.5</v>
      </c>
      <c r="I246" s="1">
        <v>1546.2860000000001</v>
      </c>
      <c r="J246" s="1">
        <v>1591.4</v>
      </c>
      <c r="K246" s="1">
        <v>1616.7</v>
      </c>
      <c r="L246" s="1">
        <v>1641.9</v>
      </c>
      <c r="M246" s="1">
        <v>1666.9</v>
      </c>
      <c r="N246" s="1">
        <v>1715.518</v>
      </c>
      <c r="O246" s="1">
        <v>1753</v>
      </c>
      <c r="P246" s="1">
        <v>1783.7</v>
      </c>
      <c r="Q246" s="1">
        <v>1814.4</v>
      </c>
      <c r="R246" s="1">
        <v>1844.8</v>
      </c>
      <c r="S246" s="1">
        <v>1875.8</v>
      </c>
      <c r="T246" s="1">
        <v>1900.6</v>
      </c>
      <c r="U246" s="1">
        <v>1924.8</v>
      </c>
      <c r="V246" s="1">
        <v>1948.5</v>
      </c>
      <c r="W246" s="1">
        <v>1971.8</v>
      </c>
      <c r="X246" s="1">
        <v>2010.67</v>
      </c>
      <c r="Y246" s="1">
        <v>2032.38</v>
      </c>
      <c r="Z246" s="1">
        <v>2059.37</v>
      </c>
      <c r="AA246" s="1">
        <v>2086.0100000000002</v>
      </c>
      <c r="AB246" s="1">
        <v>2112.2399999999998</v>
      </c>
      <c r="AC246" s="1">
        <v>2138.04</v>
      </c>
    </row>
    <row r="247" spans="1:29">
      <c r="A247" s="1">
        <f>VLOOKUP(B247,Legend!$C$32:$D$66,2,FALSE)</f>
        <v>18</v>
      </c>
      <c r="B247" s="1" t="s">
        <v>7</v>
      </c>
      <c r="C247" s="1" t="s">
        <v>131</v>
      </c>
      <c r="D247" s="1">
        <v>6648.933</v>
      </c>
      <c r="E247" s="1">
        <v>6829.8</v>
      </c>
      <c r="F247" s="1">
        <v>6929.9</v>
      </c>
      <c r="G247" s="1">
        <v>7031.4</v>
      </c>
      <c r="H247" s="1">
        <v>7134.3</v>
      </c>
      <c r="I247" s="1">
        <v>7104.5720000000001</v>
      </c>
      <c r="J247" s="1">
        <v>7188.4</v>
      </c>
      <c r="K247" s="1">
        <v>7289.8</v>
      </c>
      <c r="L247" s="1">
        <v>7391.1</v>
      </c>
      <c r="M247" s="1">
        <v>7491.9</v>
      </c>
      <c r="N247" s="1">
        <v>7608.4049999999997</v>
      </c>
      <c r="O247" s="1">
        <v>7735.9</v>
      </c>
      <c r="P247" s="1">
        <v>7835.3</v>
      </c>
      <c r="Q247" s="1">
        <v>7932.1</v>
      </c>
      <c r="R247" s="1">
        <v>8026.2</v>
      </c>
      <c r="S247" s="1">
        <v>8122.9</v>
      </c>
      <c r="T247" s="1">
        <v>8210.4</v>
      </c>
      <c r="U247" s="1">
        <v>8295.2999999999993</v>
      </c>
      <c r="V247" s="1">
        <v>8377.6</v>
      </c>
      <c r="W247" s="1">
        <v>8457.7999999999993</v>
      </c>
      <c r="X247" s="1">
        <v>9007.848</v>
      </c>
      <c r="Y247" s="1">
        <v>9096.52</v>
      </c>
      <c r="Z247" s="1">
        <v>9206.26</v>
      </c>
      <c r="AA247" s="1">
        <v>9313.99</v>
      </c>
      <c r="AB247" s="1">
        <v>9419.58</v>
      </c>
      <c r="AC247" s="1">
        <v>9522.91</v>
      </c>
    </row>
    <row r="248" spans="1:29">
      <c r="A248" s="1">
        <f>VLOOKUP(B248,Legend!$C$32:$D$66,2,FALSE)</f>
        <v>19</v>
      </c>
      <c r="B248" s="1" t="s">
        <v>28</v>
      </c>
      <c r="C248" s="1" t="s">
        <v>131</v>
      </c>
      <c r="D248" s="1">
        <v>899.08600000000001</v>
      </c>
      <c r="E248" s="1">
        <v>912.2</v>
      </c>
      <c r="F248" s="1">
        <v>924.6</v>
      </c>
      <c r="G248" s="1">
        <v>937.1</v>
      </c>
      <c r="H248" s="1">
        <v>949.8</v>
      </c>
      <c r="I248" s="1">
        <v>1042.828</v>
      </c>
      <c r="J248" s="1">
        <v>1090.8</v>
      </c>
      <c r="K248" s="1">
        <v>1106.7</v>
      </c>
      <c r="L248" s="1">
        <v>1122.5</v>
      </c>
      <c r="M248" s="1">
        <v>1138.0999999999999</v>
      </c>
      <c r="N248" s="1">
        <v>1223.296</v>
      </c>
      <c r="O248" s="1">
        <v>1258.2</v>
      </c>
      <c r="P248" s="1">
        <v>1286.5999999999999</v>
      </c>
      <c r="Q248" s="1">
        <v>1315.1</v>
      </c>
      <c r="R248" s="1">
        <v>1343.9</v>
      </c>
      <c r="S248" s="1">
        <v>1373.3</v>
      </c>
      <c r="T248" s="1">
        <v>1393.1</v>
      </c>
      <c r="U248" s="1">
        <v>1412.7</v>
      </c>
      <c r="V248" s="1">
        <v>1432.1</v>
      </c>
      <c r="W248" s="1">
        <v>1451.1</v>
      </c>
      <c r="X248" s="1">
        <v>1455.6780000000001</v>
      </c>
      <c r="Y248" s="1">
        <v>1471.79</v>
      </c>
      <c r="Z248" s="1">
        <v>1491.99</v>
      </c>
      <c r="AA248" s="1">
        <v>1511.9</v>
      </c>
      <c r="AB248" s="1">
        <v>1531.53</v>
      </c>
      <c r="AC248" s="1">
        <v>1550.82</v>
      </c>
    </row>
    <row r="249" spans="1:29">
      <c r="A249" s="1">
        <f>VLOOKUP(B249,Legend!$C$32:$D$66,2,FALSE)</f>
        <v>21</v>
      </c>
      <c r="B249" s="1" t="s">
        <v>29</v>
      </c>
      <c r="C249" s="1" t="s">
        <v>131</v>
      </c>
      <c r="G249" s="1">
        <v>1438.6429373823892</v>
      </c>
      <c r="H249" s="1">
        <v>1483.4255537311519</v>
      </c>
      <c r="I249" s="1">
        <v>1273.011</v>
      </c>
      <c r="J249" s="1">
        <v>1334.8</v>
      </c>
      <c r="K249" s="1">
        <v>1392.9</v>
      </c>
      <c r="L249" s="1">
        <v>1453.1</v>
      </c>
      <c r="M249" s="1">
        <v>1515.3</v>
      </c>
      <c r="N249" s="1">
        <v>1679.163</v>
      </c>
      <c r="O249" s="1">
        <v>1748.8</v>
      </c>
      <c r="P249" s="1">
        <v>1805.1</v>
      </c>
      <c r="Q249" s="1">
        <v>1861.4</v>
      </c>
      <c r="R249" s="1">
        <v>1917.4</v>
      </c>
      <c r="S249" s="1">
        <v>1982.8</v>
      </c>
      <c r="T249" s="1">
        <v>2045.3</v>
      </c>
      <c r="U249" s="1">
        <v>2109.4</v>
      </c>
      <c r="V249" s="1">
        <v>2174.8000000000002</v>
      </c>
      <c r="W249" s="1">
        <v>2241.6</v>
      </c>
      <c r="X249" s="1">
        <v>2064.5639999999999</v>
      </c>
      <c r="Y249" s="1">
        <v>2089.89</v>
      </c>
      <c r="Z249" s="1">
        <v>2121.48</v>
      </c>
      <c r="AA249" s="1">
        <v>2152.63</v>
      </c>
      <c r="AB249" s="1">
        <v>2183.29</v>
      </c>
      <c r="AC249" s="1">
        <v>2213.46</v>
      </c>
    </row>
    <row r="250" spans="1:29">
      <c r="A250" s="1">
        <f>VLOOKUP(B250,Legend!$C$32:$D$66,2,FALSE)</f>
        <v>31</v>
      </c>
      <c r="B250" s="1" t="s">
        <v>8</v>
      </c>
      <c r="C250" s="1" t="s">
        <v>131</v>
      </c>
      <c r="D250" s="1">
        <v>8347.08</v>
      </c>
      <c r="E250" s="1">
        <v>8467.7000000000007</v>
      </c>
      <c r="F250" s="1">
        <v>8575.7000000000007</v>
      </c>
      <c r="G250" s="1">
        <v>8685</v>
      </c>
      <c r="H250" s="1">
        <v>8795.6</v>
      </c>
      <c r="I250" s="1">
        <v>8839.2469999999994</v>
      </c>
      <c r="J250" s="1">
        <v>8979.6</v>
      </c>
      <c r="K250" s="1">
        <v>9064.6</v>
      </c>
      <c r="L250" s="1">
        <v>9146.2000000000007</v>
      </c>
      <c r="M250" s="1">
        <v>9223</v>
      </c>
      <c r="N250" s="1">
        <v>9607.7870000000003</v>
      </c>
      <c r="O250" s="1">
        <v>9752.1</v>
      </c>
      <c r="P250" s="1">
        <v>9862.1</v>
      </c>
      <c r="Q250" s="1">
        <v>9969.9</v>
      </c>
      <c r="R250" s="1">
        <v>10075.299999999999</v>
      </c>
      <c r="S250" s="1">
        <v>10179</v>
      </c>
      <c r="T250" s="1">
        <v>10265.299999999999</v>
      </c>
      <c r="U250" s="1">
        <v>10348.299999999999</v>
      </c>
      <c r="V250" s="1">
        <v>10428</v>
      </c>
      <c r="W250" s="1">
        <v>10504.1</v>
      </c>
      <c r="X250" s="1">
        <v>10562.088</v>
      </c>
      <c r="Y250" s="1">
        <v>10605.44</v>
      </c>
      <c r="Z250" s="1">
        <v>10640.01</v>
      </c>
      <c r="AA250" s="1">
        <v>10672.1</v>
      </c>
      <c r="AB250" s="1">
        <v>10684.95</v>
      </c>
      <c r="AC250" s="1">
        <v>10677.98</v>
      </c>
    </row>
    <row r="251" spans="1:29">
      <c r="A251" s="1">
        <f>VLOOKUP(B251,Legend!$C$32:$D$66,2,FALSE)</f>
        <v>32</v>
      </c>
      <c r="B251" s="1" t="s">
        <v>21</v>
      </c>
      <c r="C251" s="1" t="s">
        <v>131</v>
      </c>
      <c r="D251" s="1">
        <v>35718.025000000001</v>
      </c>
      <c r="E251" s="1">
        <v>36171.300000000003</v>
      </c>
      <c r="F251" s="1">
        <v>36624.199999999997</v>
      </c>
      <c r="G251" s="1">
        <v>37082.1</v>
      </c>
      <c r="H251" s="1">
        <v>37544.800000000003</v>
      </c>
      <c r="I251" s="1">
        <v>38886.974999999999</v>
      </c>
      <c r="J251" s="1">
        <v>39739.1</v>
      </c>
      <c r="K251" s="1">
        <v>40329.1</v>
      </c>
      <c r="L251" s="1">
        <v>40918.300000000003</v>
      </c>
      <c r="M251" s="1">
        <v>41501.599999999999</v>
      </c>
      <c r="N251" s="1">
        <v>43053.732000000004</v>
      </c>
      <c r="O251" s="1">
        <v>43938.8</v>
      </c>
      <c r="P251" s="1">
        <v>44643.5</v>
      </c>
      <c r="Q251" s="1">
        <v>45340.800000000003</v>
      </c>
      <c r="R251" s="1">
        <v>46029.599999999999</v>
      </c>
      <c r="S251" s="1">
        <v>46805.2</v>
      </c>
      <c r="T251" s="1">
        <v>47365.8</v>
      </c>
      <c r="U251" s="1">
        <v>47922.8</v>
      </c>
      <c r="V251" s="1">
        <v>48475.5</v>
      </c>
      <c r="W251" s="1">
        <v>49023.199999999997</v>
      </c>
      <c r="X251" s="1">
        <v>48274.161999999997</v>
      </c>
      <c r="Y251" s="1">
        <v>48738.81</v>
      </c>
      <c r="Z251" s="1">
        <v>49306.78</v>
      </c>
      <c r="AA251" s="1">
        <v>49860.33</v>
      </c>
      <c r="AB251" s="1">
        <v>50345.19</v>
      </c>
      <c r="AC251" s="1">
        <v>50759</v>
      </c>
    </row>
    <row r="252" spans="1:29">
      <c r="A252" s="1">
        <f>VLOOKUP(B252,Legend!$C$32:$D$66,2,FALSE)</f>
        <v>33</v>
      </c>
      <c r="B252" s="1" t="s">
        <v>22</v>
      </c>
      <c r="C252" s="1" t="s">
        <v>131</v>
      </c>
      <c r="D252" s="1">
        <v>30922.883000000002</v>
      </c>
      <c r="E252" s="1">
        <v>31584</v>
      </c>
      <c r="F252" s="1">
        <v>31948.5</v>
      </c>
      <c r="G252" s="1">
        <v>32316.7</v>
      </c>
      <c r="H252" s="1">
        <v>32688.7</v>
      </c>
      <c r="I252" s="1">
        <v>31896.114000000001</v>
      </c>
      <c r="J252" s="1">
        <v>32128.6</v>
      </c>
      <c r="K252" s="1">
        <v>32380.3</v>
      </c>
      <c r="L252" s="1">
        <v>32626.400000000001</v>
      </c>
      <c r="M252" s="1">
        <v>32864.6</v>
      </c>
      <c r="N252" s="1">
        <v>32382.656999999999</v>
      </c>
      <c r="O252" s="1">
        <v>32725.4</v>
      </c>
      <c r="P252" s="1">
        <v>32998.699999999997</v>
      </c>
      <c r="Q252" s="1">
        <v>33264.300000000003</v>
      </c>
      <c r="R252" s="1">
        <v>33522.699999999997</v>
      </c>
      <c r="S252" s="1">
        <v>33728.9</v>
      </c>
      <c r="T252" s="1">
        <v>33946.400000000001</v>
      </c>
      <c r="U252" s="1">
        <v>34156.400000000001</v>
      </c>
      <c r="V252" s="1">
        <v>34358.5</v>
      </c>
      <c r="W252" s="1">
        <v>34552.5</v>
      </c>
      <c r="X252" s="1">
        <v>36516.035000000003</v>
      </c>
      <c r="Y252" s="1">
        <v>36811.14</v>
      </c>
      <c r="Z252" s="1">
        <v>37180.410000000003</v>
      </c>
      <c r="AA252" s="1">
        <v>37540.959999999999</v>
      </c>
      <c r="AB252" s="1">
        <v>37892.28</v>
      </c>
      <c r="AC252" s="1">
        <v>38233.93</v>
      </c>
    </row>
    <row r="253" spans="1:29">
      <c r="A253" s="1">
        <f>VLOOKUP(B253,Legend!$C$32:$D$66,2,FALSE)</f>
        <v>34</v>
      </c>
      <c r="B253" s="1" t="s">
        <v>9</v>
      </c>
      <c r="C253" s="1" t="s">
        <v>131</v>
      </c>
      <c r="D253" s="1">
        <v>3120.4780000000001</v>
      </c>
      <c r="E253" s="1">
        <v>3133</v>
      </c>
      <c r="F253" s="1">
        <v>3145</v>
      </c>
      <c r="G253" s="1">
        <v>3157</v>
      </c>
      <c r="H253" s="1">
        <v>3169.1</v>
      </c>
      <c r="I253" s="1">
        <v>3337.0949999999998</v>
      </c>
      <c r="J253" s="1">
        <v>3400.1</v>
      </c>
      <c r="K253" s="1">
        <v>3434.5</v>
      </c>
      <c r="L253" s="1">
        <v>3468.5</v>
      </c>
      <c r="M253" s="1">
        <v>3501.9</v>
      </c>
      <c r="N253" s="1">
        <v>3457.491</v>
      </c>
      <c r="O253" s="1">
        <v>3510</v>
      </c>
      <c r="P253" s="1">
        <v>3552.5</v>
      </c>
      <c r="Q253" s="1">
        <v>3594.9</v>
      </c>
      <c r="R253" s="1">
        <v>3637.1</v>
      </c>
      <c r="S253" s="1">
        <v>3669.2</v>
      </c>
      <c r="T253" s="1">
        <v>3718.5</v>
      </c>
      <c r="U253" s="1">
        <v>3768.2</v>
      </c>
      <c r="V253" s="1">
        <v>3818.3</v>
      </c>
      <c r="W253" s="1">
        <v>3868.6</v>
      </c>
      <c r="X253" s="1">
        <v>3668.7190000000001</v>
      </c>
      <c r="Y253" s="1">
        <v>3687.77</v>
      </c>
      <c r="Z253" s="1">
        <v>3712.57</v>
      </c>
      <c r="AA253" s="1">
        <v>3736.49</v>
      </c>
      <c r="AB253" s="1">
        <v>3759.5</v>
      </c>
      <c r="AC253" s="1">
        <v>3781.55</v>
      </c>
    </row>
    <row r="254" spans="1:29">
      <c r="A254" s="1">
        <f>VLOOKUP(B254,Legend!$C$32:$D$66,2,FALSE)</f>
        <v>35</v>
      </c>
      <c r="B254" s="1" t="s">
        <v>23</v>
      </c>
      <c r="C254" s="1" t="s">
        <v>131</v>
      </c>
      <c r="D254" s="1">
        <v>34763.447999999997</v>
      </c>
      <c r="E254" s="1">
        <v>34973.699999999997</v>
      </c>
      <c r="F254" s="1">
        <v>35182.199999999997</v>
      </c>
      <c r="G254" s="1">
        <v>35391.5</v>
      </c>
      <c r="H254" s="1">
        <v>35601.5</v>
      </c>
      <c r="I254" s="1">
        <v>36058.107000000004</v>
      </c>
      <c r="J254" s="1">
        <v>36690.6</v>
      </c>
      <c r="K254" s="1">
        <v>36895.599999999999</v>
      </c>
      <c r="L254" s="1">
        <v>37094.800000000003</v>
      </c>
      <c r="M254" s="1">
        <v>37286.199999999997</v>
      </c>
      <c r="N254" s="1">
        <v>37476.756999999998</v>
      </c>
      <c r="O254" s="1">
        <v>37840.699999999997</v>
      </c>
      <c r="P254" s="1">
        <v>38106.6</v>
      </c>
      <c r="Q254" s="1">
        <v>38363.199999999997</v>
      </c>
      <c r="R254" s="1">
        <v>38610.199999999997</v>
      </c>
      <c r="S254" s="1">
        <v>38784.300000000003</v>
      </c>
      <c r="T254" s="1">
        <v>39041.4</v>
      </c>
      <c r="U254" s="1">
        <v>39287.300000000003</v>
      </c>
      <c r="V254" s="1">
        <v>39521.9</v>
      </c>
      <c r="W254" s="1">
        <v>39744.800000000003</v>
      </c>
      <c r="X254" s="1">
        <v>40665.696000000004</v>
      </c>
      <c r="Y254" s="1">
        <v>40921.08</v>
      </c>
      <c r="Z254" s="1">
        <v>41229.980000000003</v>
      </c>
      <c r="AA254" s="1">
        <v>41527.93</v>
      </c>
      <c r="AB254" s="1">
        <v>41814.5</v>
      </c>
      <c r="AC254" s="1">
        <v>42089.27</v>
      </c>
    </row>
    <row r="255" spans="1:29">
      <c r="A255" s="1">
        <f>VLOOKUP(B255,Legend!$C$32:$D$66,2,FALSE)</f>
        <v>36</v>
      </c>
      <c r="B255" s="1" t="s">
        <v>10</v>
      </c>
      <c r="C255" s="1" t="s">
        <v>131</v>
      </c>
      <c r="D255" s="1">
        <v>8095.8860000000004</v>
      </c>
      <c r="E255" s="1">
        <v>8215.6</v>
      </c>
      <c r="F255" s="1">
        <v>8334.7999999999993</v>
      </c>
      <c r="G255" s="1">
        <v>8455.5</v>
      </c>
      <c r="H255" s="1">
        <v>8577.9</v>
      </c>
      <c r="I255" s="1">
        <v>9008.1509999999998</v>
      </c>
      <c r="J255" s="1">
        <v>9246.2000000000007</v>
      </c>
      <c r="K255" s="1">
        <v>9423.4</v>
      </c>
      <c r="L255" s="1">
        <v>9602.4</v>
      </c>
      <c r="M255" s="1">
        <v>9782.7999999999993</v>
      </c>
      <c r="N255" s="1">
        <v>10632.165999999999</v>
      </c>
      <c r="O255" s="1">
        <v>10943.8</v>
      </c>
      <c r="P255" s="1">
        <v>11198.6</v>
      </c>
      <c r="Q255" s="1">
        <v>11452.5</v>
      </c>
      <c r="R255" s="1">
        <v>11704.9</v>
      </c>
      <c r="S255" s="1">
        <v>11967.6</v>
      </c>
      <c r="T255" s="1">
        <v>12157.2</v>
      </c>
      <c r="U255" s="1">
        <v>12345</v>
      </c>
      <c r="V255" s="1">
        <v>12530.8</v>
      </c>
      <c r="W255" s="1">
        <v>12714.3</v>
      </c>
      <c r="X255" s="1">
        <v>11904.562</v>
      </c>
      <c r="Y255" s="1">
        <v>12022.95</v>
      </c>
      <c r="Z255" s="1">
        <v>12167.04</v>
      </c>
      <c r="AA255" s="1">
        <v>12307.73</v>
      </c>
      <c r="AB255" s="1">
        <v>12431.39</v>
      </c>
      <c r="AC255" s="1">
        <v>12537.44</v>
      </c>
    </row>
    <row r="256" spans="1:29">
      <c r="A256" s="1">
        <f>VLOOKUP(B256,Legend!$C$32:$D$66,2,FALSE)</f>
        <v>51</v>
      </c>
      <c r="B256" s="1" t="s">
        <v>11</v>
      </c>
      <c r="C256" s="1" t="s">
        <v>131</v>
      </c>
      <c r="D256" s="1">
        <v>3146.837</v>
      </c>
      <c r="E256" s="1">
        <v>3182.5</v>
      </c>
      <c r="F256" s="1">
        <v>3215.3</v>
      </c>
      <c r="G256" s="1">
        <v>3248.5</v>
      </c>
      <c r="H256" s="1">
        <v>3282</v>
      </c>
      <c r="I256" s="1">
        <v>3378.0920000000001</v>
      </c>
      <c r="J256" s="1">
        <v>3442.8</v>
      </c>
      <c r="K256" s="1">
        <v>3479.8</v>
      </c>
      <c r="L256" s="1">
        <v>3516</v>
      </c>
      <c r="M256" s="1">
        <v>3551</v>
      </c>
      <c r="N256" s="1">
        <v>3890.7570000000001</v>
      </c>
      <c r="O256" s="1">
        <v>3957.6</v>
      </c>
      <c r="P256" s="1">
        <v>4007.2</v>
      </c>
      <c r="Q256" s="1">
        <v>4056.3</v>
      </c>
      <c r="R256" s="1">
        <v>4104.8999999999996</v>
      </c>
      <c r="S256" s="1">
        <v>4148.3999999999996</v>
      </c>
      <c r="T256" s="1">
        <v>4202.3999999999996</v>
      </c>
      <c r="U256" s="1">
        <v>4256</v>
      </c>
      <c r="V256" s="1">
        <v>4309.2</v>
      </c>
      <c r="W256" s="1">
        <v>4362</v>
      </c>
      <c r="X256" s="1">
        <v>4317.4040000000005</v>
      </c>
      <c r="Y256" s="1">
        <v>4343.45</v>
      </c>
      <c r="Z256" s="1">
        <v>4374.3100000000004</v>
      </c>
      <c r="AA256" s="1">
        <v>4404.26</v>
      </c>
      <c r="AB256" s="1">
        <v>4433.26</v>
      </c>
      <c r="AC256" s="1">
        <v>4461.2700000000004</v>
      </c>
    </row>
    <row r="257" spans="1:29">
      <c r="A257" s="1">
        <f>VLOOKUP(B257,Legend!$C$32:$D$66,2,FALSE)</f>
        <v>52</v>
      </c>
      <c r="B257" s="1" t="s">
        <v>31</v>
      </c>
      <c r="C257" s="1" t="s">
        <v>131</v>
      </c>
      <c r="D257" s="1">
        <v>3830.4119999999998</v>
      </c>
      <c r="E257" s="1">
        <v>4068.1</v>
      </c>
      <c r="F257" s="1">
        <v>4128.3</v>
      </c>
      <c r="G257" s="1">
        <v>4189.2</v>
      </c>
      <c r="H257" s="1">
        <v>4250.8999999999996</v>
      </c>
      <c r="I257" s="1">
        <v>4169.6949999999997</v>
      </c>
      <c r="J257" s="1">
        <v>4220.8</v>
      </c>
      <c r="K257" s="1">
        <v>4292.5</v>
      </c>
      <c r="L257" s="1">
        <v>4363.8</v>
      </c>
      <c r="M257" s="1">
        <v>4434</v>
      </c>
      <c r="N257" s="1">
        <v>4500.2120000000004</v>
      </c>
      <c r="O257" s="1">
        <v>4581.8</v>
      </c>
      <c r="P257" s="1">
        <v>4646.8</v>
      </c>
      <c r="Q257" s="1">
        <v>4710.8</v>
      </c>
      <c r="R257" s="1">
        <v>4773.8</v>
      </c>
      <c r="S257" s="1">
        <v>4846.7</v>
      </c>
      <c r="T257" s="1">
        <v>4924.8</v>
      </c>
      <c r="U257" s="1">
        <v>5001.7</v>
      </c>
      <c r="V257" s="1">
        <v>5077.7</v>
      </c>
      <c r="W257" s="1">
        <v>5152.3999999999996</v>
      </c>
      <c r="X257" s="1">
        <v>5320.0919999999996</v>
      </c>
      <c r="Y257" s="1">
        <v>5387.15</v>
      </c>
      <c r="Z257" s="1">
        <v>5473.97</v>
      </c>
      <c r="AA257" s="1">
        <v>5560.29</v>
      </c>
      <c r="AB257" s="1">
        <v>5646.02</v>
      </c>
      <c r="AC257" s="1">
        <v>5731.11</v>
      </c>
    </row>
    <row r="258" spans="1:29">
      <c r="A258" s="1">
        <f>VLOOKUP(B258,Legend!$C$32:$D$66,2,FALSE)</f>
        <v>53</v>
      </c>
      <c r="B258" s="1" t="s">
        <v>32</v>
      </c>
      <c r="C258" s="1" t="s">
        <v>131</v>
      </c>
      <c r="D258" s="1">
        <v>3808.2669999999998</v>
      </c>
      <c r="E258" s="1">
        <v>3881.2</v>
      </c>
      <c r="F258" s="1">
        <v>3940.5</v>
      </c>
      <c r="G258" s="1">
        <v>4000.6</v>
      </c>
      <c r="H258" s="1">
        <v>4061.5</v>
      </c>
      <c r="I258" s="1">
        <v>4243.1819999999998</v>
      </c>
      <c r="J258" s="1">
        <v>4363.8</v>
      </c>
      <c r="K258" s="1">
        <v>4448.8999999999996</v>
      </c>
      <c r="L258" s="1">
        <v>4534.3</v>
      </c>
      <c r="M258" s="1">
        <v>4619.7</v>
      </c>
      <c r="N258" s="1">
        <v>4683.8270000000002</v>
      </c>
      <c r="O258" s="1">
        <v>4788.6000000000004</v>
      </c>
      <c r="P258" s="1">
        <v>4871.2</v>
      </c>
      <c r="Q258" s="1">
        <v>4954</v>
      </c>
      <c r="R258" s="1">
        <v>5036.8999999999996</v>
      </c>
      <c r="S258" s="1">
        <v>5126.1000000000004</v>
      </c>
      <c r="T258" s="1">
        <v>5204.7</v>
      </c>
      <c r="U258" s="1">
        <v>5282.7</v>
      </c>
      <c r="V258" s="1">
        <v>5360.2</v>
      </c>
      <c r="W258" s="1">
        <v>5437.2</v>
      </c>
      <c r="X258" s="1">
        <v>5325.5659999999998</v>
      </c>
      <c r="Y258" s="1">
        <v>5394.38</v>
      </c>
      <c r="Z258" s="1">
        <v>5481.79</v>
      </c>
      <c r="AA258" s="1">
        <v>5569.07</v>
      </c>
      <c r="AB258" s="1">
        <v>5656.04</v>
      </c>
      <c r="AC258" s="1">
        <v>5742.56</v>
      </c>
    </row>
    <row r="259" spans="1:29">
      <c r="A259" s="1">
        <f>VLOOKUP(B259,Legend!$C$32:$D$66,2,FALSE)</f>
        <v>61</v>
      </c>
      <c r="B259" s="1" t="s">
        <v>24</v>
      </c>
      <c r="C259" s="1" t="s">
        <v>131</v>
      </c>
      <c r="D259" s="1">
        <v>3750.7559999999999</v>
      </c>
      <c r="E259" s="1">
        <v>4081.9</v>
      </c>
      <c r="F259" s="1">
        <v>4148.5</v>
      </c>
      <c r="G259" s="1">
        <v>4216.1000000000004</v>
      </c>
      <c r="H259" s="1">
        <v>4284.6000000000004</v>
      </c>
      <c r="I259" s="1">
        <v>4042.817</v>
      </c>
      <c r="J259" s="1">
        <v>4107.8</v>
      </c>
      <c r="K259" s="1">
        <v>4178.5</v>
      </c>
      <c r="L259" s="1">
        <v>4249.1000000000004</v>
      </c>
      <c r="M259" s="1">
        <v>4319.1000000000004</v>
      </c>
      <c r="N259" s="1">
        <v>4395.9830000000002</v>
      </c>
      <c r="O259" s="1">
        <v>4488.8999999999996</v>
      </c>
      <c r="P259" s="1">
        <v>4565.6000000000004</v>
      </c>
      <c r="Q259" s="1">
        <v>4641.3999999999996</v>
      </c>
      <c r="R259" s="1">
        <v>4716.1000000000004</v>
      </c>
      <c r="S259" s="1">
        <v>4795.5</v>
      </c>
      <c r="T259" s="1">
        <v>4859.8999999999996</v>
      </c>
      <c r="U259" s="1">
        <v>4923.1000000000004</v>
      </c>
      <c r="V259" s="1">
        <v>4985.1000000000004</v>
      </c>
      <c r="W259" s="1">
        <v>5045.7</v>
      </c>
      <c r="X259" s="1">
        <v>5414.39</v>
      </c>
      <c r="Y259" s="1">
        <v>5474.71</v>
      </c>
      <c r="Z259" s="1">
        <v>5549.7</v>
      </c>
      <c r="AA259" s="1">
        <v>5623.33</v>
      </c>
      <c r="AB259" s="1">
        <v>5695.48</v>
      </c>
      <c r="AC259" s="1">
        <v>5766.03</v>
      </c>
    </row>
    <row r="260" spans="1:29">
      <c r="A260" s="1">
        <f>VLOOKUP(B260,Legend!$C$32:$D$66,2,FALSE)</f>
        <v>62</v>
      </c>
      <c r="B260" s="1" t="s">
        <v>26</v>
      </c>
      <c r="C260" s="1" t="s">
        <v>131</v>
      </c>
      <c r="D260" s="1">
        <v>1800.92</v>
      </c>
      <c r="E260" s="1">
        <v>1889.2</v>
      </c>
      <c r="F260" s="1">
        <v>1923.2</v>
      </c>
      <c r="G260" s="1">
        <v>1957.9</v>
      </c>
      <c r="H260" s="1">
        <v>1993.2</v>
      </c>
      <c r="I260" s="1">
        <v>1913.0260000000001</v>
      </c>
      <c r="J260" s="1">
        <v>1999</v>
      </c>
      <c r="K260" s="1">
        <v>2028.3</v>
      </c>
      <c r="L260" s="1">
        <v>2057.3000000000002</v>
      </c>
      <c r="M260" s="1">
        <v>2085.8000000000002</v>
      </c>
      <c r="N260" s="1">
        <v>2212.0889999999999</v>
      </c>
      <c r="O260" s="1">
        <v>2275.1</v>
      </c>
      <c r="P260" s="1">
        <v>2329.8000000000002</v>
      </c>
      <c r="Q260" s="1">
        <v>2384.6999999999998</v>
      </c>
      <c r="R260" s="1">
        <v>2439.9</v>
      </c>
      <c r="S260" s="1">
        <v>2497.4</v>
      </c>
      <c r="T260" s="1">
        <v>2536.3000000000002</v>
      </c>
      <c r="U260" s="1">
        <v>2574.6999999999998</v>
      </c>
      <c r="V260" s="1">
        <v>2612.6</v>
      </c>
      <c r="W260" s="1">
        <v>2649.8</v>
      </c>
      <c r="X260" s="1">
        <v>2669.9690000000001</v>
      </c>
      <c r="Y260" s="1">
        <v>2700.08</v>
      </c>
      <c r="Z260" s="1">
        <v>2737.19</v>
      </c>
      <c r="AA260" s="1">
        <v>2773.75</v>
      </c>
      <c r="AB260" s="1">
        <v>2809.7</v>
      </c>
      <c r="AC260" s="1">
        <v>2844.99</v>
      </c>
    </row>
    <row r="261" spans="1:29">
      <c r="A261" s="1">
        <f>VLOOKUP(B261,Legend!$C$32:$D$66,2,FALSE)</f>
        <v>63</v>
      </c>
      <c r="B261" s="1" t="s">
        <v>25</v>
      </c>
      <c r="C261" s="1" t="s">
        <v>131</v>
      </c>
      <c r="D261" s="1">
        <v>2975.7139999999999</v>
      </c>
      <c r="E261" s="1">
        <v>3021.2</v>
      </c>
      <c r="F261" s="1">
        <v>3058.7</v>
      </c>
      <c r="G261" s="1">
        <v>3096.7</v>
      </c>
      <c r="H261" s="1">
        <v>3135.2</v>
      </c>
      <c r="I261" s="1">
        <v>3271.413</v>
      </c>
      <c r="J261" s="1">
        <v>3346.6</v>
      </c>
      <c r="K261" s="1">
        <v>3396.7</v>
      </c>
      <c r="L261" s="1">
        <v>3446.6</v>
      </c>
      <c r="M261" s="1">
        <v>3496.1</v>
      </c>
      <c r="N261" s="1">
        <v>3626.616</v>
      </c>
      <c r="O261" s="1">
        <v>3714.3</v>
      </c>
      <c r="P261" s="1">
        <v>3785</v>
      </c>
      <c r="Q261" s="1">
        <v>3854.5</v>
      </c>
      <c r="R261" s="1">
        <v>3922.8</v>
      </c>
      <c r="S261" s="1">
        <v>3990.7</v>
      </c>
      <c r="T261" s="1">
        <v>4049.5</v>
      </c>
      <c r="U261" s="1">
        <v>4106.8</v>
      </c>
      <c r="V261" s="1">
        <v>4162.3</v>
      </c>
      <c r="W261" s="1">
        <v>4216.3</v>
      </c>
      <c r="X261" s="1">
        <v>4073.5839999999998</v>
      </c>
      <c r="Y261" s="1">
        <v>4116.8900000000003</v>
      </c>
      <c r="Z261" s="1">
        <v>4170.17</v>
      </c>
      <c r="AA261" s="1">
        <v>4222.33</v>
      </c>
      <c r="AB261" s="1">
        <v>4273.3999999999996</v>
      </c>
      <c r="AC261" s="1">
        <v>4323.33</v>
      </c>
    </row>
    <row r="262" spans="1:29">
      <c r="A262" s="1">
        <f>VLOOKUP(B262,Legend!$C$32:$D$66,2,FALSE)</f>
        <v>64</v>
      </c>
      <c r="B262" s="1" t="s">
        <v>27</v>
      </c>
      <c r="C262" s="1" t="s">
        <v>131</v>
      </c>
      <c r="D262" s="1">
        <v>2443.3339999999998</v>
      </c>
      <c r="E262" s="1">
        <v>2493.4</v>
      </c>
      <c r="F262" s="1">
        <v>2535.5</v>
      </c>
      <c r="G262" s="1">
        <v>2578.1999999999998</v>
      </c>
      <c r="H262" s="1">
        <v>2621.7</v>
      </c>
      <c r="I262" s="1">
        <v>2840.8739999999998</v>
      </c>
      <c r="J262" s="1">
        <v>2955.5</v>
      </c>
      <c r="K262" s="1">
        <v>3024.8</v>
      </c>
      <c r="L262" s="1">
        <v>3094.7</v>
      </c>
      <c r="M262" s="1">
        <v>3164.8</v>
      </c>
      <c r="N262" s="1">
        <v>2889.4180920003546</v>
      </c>
      <c r="O262" s="1">
        <v>2987.6177593190318</v>
      </c>
      <c r="P262" s="1">
        <v>3067.5553803051939</v>
      </c>
      <c r="Q262" s="1">
        <v>3147.7369614774789</v>
      </c>
      <c r="R262" s="1">
        <v>3228.0811827738448</v>
      </c>
      <c r="S262" s="1">
        <v>3431.3</v>
      </c>
      <c r="T262" s="1">
        <v>3479.6</v>
      </c>
      <c r="U262" s="1">
        <v>3527.1</v>
      </c>
      <c r="V262" s="1">
        <v>3573.8</v>
      </c>
      <c r="W262" s="1">
        <v>3619.7</v>
      </c>
      <c r="X262" s="1">
        <v>3766.0390000000002</v>
      </c>
      <c r="Y262" s="1">
        <v>3803.46</v>
      </c>
      <c r="Z262" s="1">
        <v>3856.78</v>
      </c>
      <c r="AA262" s="1">
        <v>3909.74</v>
      </c>
      <c r="AB262" s="1">
        <v>4045.86</v>
      </c>
      <c r="AC262" s="1">
        <v>4267.6000000000004</v>
      </c>
    </row>
    <row r="263" spans="1:29">
      <c r="A263" s="1">
        <f>VLOOKUP(B263,Legend!$C$32:$D$66,2,FALSE)</f>
        <v>65</v>
      </c>
      <c r="B263" s="1" t="s">
        <v>46</v>
      </c>
      <c r="C263" s="1" t="s">
        <v>131</v>
      </c>
      <c r="N263" s="1">
        <v>663.72490799964544</v>
      </c>
      <c r="O263" s="1">
        <v>686.28224068096813</v>
      </c>
      <c r="P263" s="1">
        <v>704.64461969480601</v>
      </c>
      <c r="Q263" s="1">
        <v>723.06303852252142</v>
      </c>
      <c r="R263" s="1">
        <v>741.51881722615508</v>
      </c>
      <c r="S263" s="1">
        <v>644.5</v>
      </c>
      <c r="T263" s="1">
        <v>657.3</v>
      </c>
      <c r="U263" s="1">
        <v>670</v>
      </c>
      <c r="V263" s="1">
        <v>682.8</v>
      </c>
      <c r="W263" s="1">
        <v>695.6</v>
      </c>
      <c r="X263" s="1">
        <v>701.81399999999996</v>
      </c>
      <c r="Y263" s="1">
        <v>709.97</v>
      </c>
      <c r="Z263" s="1">
        <v>720.06</v>
      </c>
      <c r="AA263" s="1">
        <v>730.01</v>
      </c>
      <c r="AB263" s="1">
        <v>739.78</v>
      </c>
      <c r="AC263" s="1">
        <v>749.37</v>
      </c>
    </row>
    <row r="264" spans="1:29">
      <c r="A264" s="1">
        <f>VLOOKUP(B264,Legend!$C$32:$D$66,2,FALSE)</f>
        <v>71</v>
      </c>
      <c r="B264" s="1" t="s">
        <v>38</v>
      </c>
      <c r="C264" s="1" t="s">
        <v>131</v>
      </c>
      <c r="D264" s="1">
        <v>1973.3679999999999</v>
      </c>
      <c r="E264" s="1">
        <v>2022.7</v>
      </c>
      <c r="F264" s="1">
        <v>2044.8</v>
      </c>
      <c r="G264" s="1">
        <v>2067.1</v>
      </c>
      <c r="H264" s="1">
        <v>2089.6999999999998</v>
      </c>
      <c r="I264" s="1">
        <v>2121.0169999999998</v>
      </c>
      <c r="J264" s="1">
        <v>2165.4</v>
      </c>
      <c r="K264" s="1">
        <v>2186.8000000000002</v>
      </c>
      <c r="L264" s="1">
        <v>2208</v>
      </c>
      <c r="M264" s="1">
        <v>2228.9</v>
      </c>
      <c r="N264" s="1">
        <v>2270.596</v>
      </c>
      <c r="O264" s="1">
        <v>2305.9</v>
      </c>
      <c r="P264" s="1">
        <v>2333.5</v>
      </c>
      <c r="Q264" s="1">
        <v>2360.4</v>
      </c>
      <c r="R264" s="1">
        <v>2386.6</v>
      </c>
      <c r="S264" s="1">
        <v>2409.8000000000002</v>
      </c>
      <c r="T264" s="1">
        <v>2432.1999999999998</v>
      </c>
      <c r="U264" s="1">
        <v>2453.8000000000002</v>
      </c>
      <c r="V264" s="1">
        <v>2474.4</v>
      </c>
      <c r="W264" s="1">
        <v>2494.1</v>
      </c>
      <c r="X264" s="1">
        <v>2621.9229999999998</v>
      </c>
      <c r="Y264" s="1">
        <v>2639.45</v>
      </c>
      <c r="Z264" s="1">
        <v>2660.76</v>
      </c>
      <c r="AA264" s="1">
        <v>2681.54</v>
      </c>
      <c r="AB264" s="1">
        <v>2701.78</v>
      </c>
      <c r="AC264" s="1">
        <v>2721.44</v>
      </c>
    </row>
    <row r="265" spans="1:29">
      <c r="A265" s="1">
        <f>VLOOKUP(B265,Legend!$C$32:$D$66,2,FALSE)</f>
        <v>72</v>
      </c>
      <c r="B265" s="1" t="s">
        <v>36</v>
      </c>
      <c r="C265" s="1" t="s">
        <v>131</v>
      </c>
      <c r="D265" s="1">
        <v>2012.393</v>
      </c>
      <c r="E265" s="1">
        <v>2207.4</v>
      </c>
      <c r="F265" s="1">
        <v>2239.4</v>
      </c>
      <c r="G265" s="1">
        <v>2271.8000000000002</v>
      </c>
      <c r="H265" s="1">
        <v>2304.6999999999998</v>
      </c>
      <c r="I265" s="1">
        <v>2290.9690000000001</v>
      </c>
      <c r="J265" s="1">
        <v>2354</v>
      </c>
      <c r="K265" s="1">
        <v>2396.1999999999998</v>
      </c>
      <c r="L265" s="1">
        <v>2438.4</v>
      </c>
      <c r="M265" s="1">
        <v>2480.3000000000002</v>
      </c>
      <c r="N265" s="1">
        <v>2635.009</v>
      </c>
      <c r="O265" s="1">
        <v>2692.8</v>
      </c>
      <c r="P265" s="1">
        <v>2739.3</v>
      </c>
      <c r="Q265" s="1">
        <v>2785.5</v>
      </c>
      <c r="R265" s="1">
        <v>2831.3</v>
      </c>
      <c r="S265" s="1">
        <v>2878</v>
      </c>
      <c r="T265" s="1">
        <v>2919.8</v>
      </c>
      <c r="U265" s="1">
        <v>2961.1</v>
      </c>
      <c r="V265" s="1">
        <v>3001.9</v>
      </c>
      <c r="W265" s="1">
        <v>3042.1</v>
      </c>
      <c r="X265" s="1">
        <v>2985.7339999999999</v>
      </c>
      <c r="Y265" s="1">
        <v>3015</v>
      </c>
      <c r="Z265" s="1">
        <v>3051.15</v>
      </c>
      <c r="AA265" s="1">
        <v>3086.75</v>
      </c>
      <c r="AB265" s="1">
        <v>3121.75</v>
      </c>
      <c r="AC265" s="1">
        <v>3156.1</v>
      </c>
    </row>
    <row r="266" spans="1:29">
      <c r="A266" s="1">
        <f>VLOOKUP(B266,Legend!$C$32:$D$66,2,FALSE)</f>
        <v>73</v>
      </c>
      <c r="B266" s="1" t="s">
        <v>35</v>
      </c>
      <c r="C266" s="1" t="s">
        <v>131</v>
      </c>
      <c r="D266" s="1">
        <v>7801.6779999999999</v>
      </c>
      <c r="E266" s="1">
        <v>8165.4</v>
      </c>
      <c r="F266" s="1">
        <v>8281.7999999999993</v>
      </c>
      <c r="G266" s="1">
        <v>8399.6</v>
      </c>
      <c r="H266" s="1">
        <v>7324.0646060946901</v>
      </c>
      <c r="I266" s="1">
        <v>7271.468108846565</v>
      </c>
      <c r="J266" s="1">
        <v>7595</v>
      </c>
      <c r="K266" s="1">
        <v>7700.3</v>
      </c>
      <c r="L266" s="1">
        <v>7805</v>
      </c>
      <c r="M266" s="1">
        <v>7908.5</v>
      </c>
      <c r="N266" s="1">
        <v>8034.7759999999998</v>
      </c>
      <c r="O266" s="1">
        <v>8156.1</v>
      </c>
      <c r="P266" s="1">
        <v>8250</v>
      </c>
      <c r="Q266" s="1">
        <v>8342</v>
      </c>
      <c r="R266" s="1">
        <v>8432.2000000000007</v>
      </c>
      <c r="S266" s="1">
        <v>8520.7999999999993</v>
      </c>
      <c r="T266" s="1">
        <v>8598.6</v>
      </c>
      <c r="U266" s="1">
        <v>8674.4</v>
      </c>
      <c r="V266" s="1">
        <v>8748.1</v>
      </c>
      <c r="W266" s="1">
        <v>8819.5</v>
      </c>
      <c r="X266" s="1">
        <v>9073.509</v>
      </c>
      <c r="Y266" s="1">
        <v>9156.86</v>
      </c>
      <c r="Z266" s="1">
        <v>9260.07</v>
      </c>
      <c r="AA266" s="1">
        <v>9362.2900000000009</v>
      </c>
      <c r="AB266" s="1">
        <v>9463.39</v>
      </c>
      <c r="AC266" s="1">
        <v>9563.1299999999992</v>
      </c>
    </row>
    <row r="267" spans="1:29">
      <c r="A267" s="1">
        <f>VLOOKUP(B267,Legend!$C$32:$D$66,2,FALSE)</f>
        <v>74</v>
      </c>
      <c r="B267" s="1" t="s">
        <v>37</v>
      </c>
      <c r="C267" s="1" t="s">
        <v>131</v>
      </c>
      <c r="D267" s="1">
        <v>1776.2909999999999</v>
      </c>
      <c r="E267" s="1">
        <v>1854.8</v>
      </c>
      <c r="F267" s="1">
        <v>1889.8</v>
      </c>
      <c r="G267" s="1">
        <v>1925.4</v>
      </c>
      <c r="H267" s="1">
        <v>1961.7</v>
      </c>
      <c r="I267" s="1">
        <v>1960.6969999999999</v>
      </c>
      <c r="J267" s="1">
        <v>1988.2</v>
      </c>
      <c r="K267" s="1">
        <v>2031.5</v>
      </c>
      <c r="L267" s="1">
        <v>2075</v>
      </c>
      <c r="M267" s="1">
        <v>2118.3000000000002</v>
      </c>
      <c r="N267" s="1">
        <v>2232.5859999999998</v>
      </c>
      <c r="O267" s="1">
        <v>2294.4</v>
      </c>
      <c r="P267" s="1">
        <v>2345.5</v>
      </c>
      <c r="Q267" s="1">
        <v>2396.6999999999998</v>
      </c>
      <c r="R267" s="1">
        <v>2448.1</v>
      </c>
      <c r="S267" s="1">
        <v>2502.6999999999998</v>
      </c>
      <c r="T267" s="1">
        <v>2543.1</v>
      </c>
      <c r="U267" s="1">
        <v>2583.4</v>
      </c>
      <c r="V267" s="1">
        <v>2623.6</v>
      </c>
      <c r="W267" s="1">
        <v>2663.7</v>
      </c>
      <c r="X267" s="1">
        <v>2624.875</v>
      </c>
      <c r="Y267" s="1">
        <v>2659.94</v>
      </c>
      <c r="Z267" s="1">
        <v>2704.61</v>
      </c>
      <c r="AA267" s="1">
        <v>2749.01</v>
      </c>
      <c r="AB267" s="1">
        <v>2793.07</v>
      </c>
      <c r="AC267" s="1">
        <v>2836.74</v>
      </c>
    </row>
    <row r="268" spans="1:29">
      <c r="A268" s="1">
        <f>VLOOKUP(B268,Legend!$C$32:$D$66,2,FALSE)</f>
        <v>75</v>
      </c>
      <c r="B268" s="1" t="s">
        <v>12</v>
      </c>
      <c r="C268" s="1" t="s">
        <v>131</v>
      </c>
      <c r="D268" s="1">
        <v>830.13499999999999</v>
      </c>
      <c r="E268" s="1">
        <v>845.2</v>
      </c>
      <c r="F268" s="1">
        <v>856.9</v>
      </c>
      <c r="G268" s="1">
        <v>868.8</v>
      </c>
      <c r="H268" s="1">
        <v>880.9</v>
      </c>
      <c r="I268" s="1">
        <v>920.01499999999999</v>
      </c>
      <c r="J268" s="1">
        <v>948.3</v>
      </c>
      <c r="K268" s="1">
        <v>960.3</v>
      </c>
      <c r="L268" s="1">
        <v>972.2</v>
      </c>
      <c r="M268" s="1">
        <v>984</v>
      </c>
      <c r="N268" s="1">
        <v>1040.164</v>
      </c>
      <c r="O268" s="1">
        <v>1062.5999999999999</v>
      </c>
      <c r="P268" s="1">
        <v>1080.3</v>
      </c>
      <c r="Q268" s="1">
        <v>1098</v>
      </c>
      <c r="R268" s="1">
        <v>1115.5999999999999</v>
      </c>
      <c r="S268" s="1">
        <v>1133.5999999999999</v>
      </c>
      <c r="T268" s="1">
        <v>1144.8</v>
      </c>
      <c r="U268" s="1">
        <v>1155.5999999999999</v>
      </c>
      <c r="V268" s="1">
        <v>1166.0999999999999</v>
      </c>
      <c r="W268" s="1">
        <v>1176.4000000000001</v>
      </c>
      <c r="X268" s="1">
        <v>1171.681</v>
      </c>
      <c r="Y268" s="1">
        <v>1183.53</v>
      </c>
      <c r="Z268" s="1">
        <v>1198.42</v>
      </c>
      <c r="AA268" s="1">
        <v>1213.18</v>
      </c>
      <c r="AB268" s="1">
        <v>1227.79</v>
      </c>
      <c r="AC268" s="1">
        <v>1242.24</v>
      </c>
    </row>
    <row r="269" spans="1:29">
      <c r="A269" s="1">
        <f>VLOOKUP(B269,Legend!$C$32:$D$66,2,FALSE)</f>
        <v>76</v>
      </c>
      <c r="B269" s="1" t="s">
        <v>34</v>
      </c>
      <c r="C269" s="1" t="s">
        <v>131</v>
      </c>
      <c r="H269" s="1">
        <v>1194.8353939053104</v>
      </c>
      <c r="I269" s="1">
        <v>1186.2548911534357</v>
      </c>
      <c r="J269" s="1">
        <v>1001.2</v>
      </c>
      <c r="K269" s="1">
        <v>1016.7</v>
      </c>
      <c r="L269" s="1">
        <v>1032.3</v>
      </c>
      <c r="M269" s="1">
        <v>1047.7</v>
      </c>
      <c r="N269" s="1">
        <v>1158.6510000000001</v>
      </c>
      <c r="O269" s="1">
        <v>1187.5</v>
      </c>
      <c r="P269" s="1">
        <v>1210.7</v>
      </c>
      <c r="Q269" s="1">
        <v>1234.3</v>
      </c>
      <c r="R269" s="1">
        <v>1258.0999999999999</v>
      </c>
      <c r="S269" s="1">
        <v>1281.7</v>
      </c>
      <c r="T269" s="1">
        <v>1301.4000000000001</v>
      </c>
      <c r="U269" s="1">
        <v>1320.9</v>
      </c>
      <c r="V269" s="1">
        <v>1340.1</v>
      </c>
      <c r="W269" s="1">
        <v>1359.2</v>
      </c>
      <c r="X269" s="1">
        <v>1419.229</v>
      </c>
      <c r="Y269" s="1">
        <v>1436.72</v>
      </c>
      <c r="Z269" s="1">
        <v>1458.89</v>
      </c>
      <c r="AA269" s="1">
        <v>1481.08</v>
      </c>
      <c r="AB269" s="1">
        <v>1503.23</v>
      </c>
      <c r="AC269" s="1">
        <v>1525.34</v>
      </c>
    </row>
    <row r="270" spans="1:29">
      <c r="A270" s="1">
        <f>VLOOKUP(B270,Legend!$C$32:$D$66,2,FALSE)</f>
        <v>81</v>
      </c>
      <c r="B270" s="1" t="s">
        <v>13</v>
      </c>
      <c r="C270" s="1" t="s">
        <v>131</v>
      </c>
      <c r="D270" s="1">
        <v>1149.884</v>
      </c>
      <c r="E270" s="1">
        <v>1182.2</v>
      </c>
      <c r="F270" s="1">
        <v>1201.5999999999999</v>
      </c>
      <c r="G270" s="1">
        <v>1221.0999999999999</v>
      </c>
      <c r="H270" s="1">
        <v>1240.9000000000001</v>
      </c>
      <c r="I270" s="1">
        <v>1249.212</v>
      </c>
      <c r="J270" s="1">
        <v>1283.4000000000001</v>
      </c>
      <c r="K270" s="1">
        <v>1302</v>
      </c>
      <c r="L270" s="1">
        <v>1320.7</v>
      </c>
      <c r="M270" s="1">
        <v>1339.5</v>
      </c>
      <c r="N270" s="1">
        <v>1533.5060000000001</v>
      </c>
      <c r="O270" s="1">
        <v>1570.7</v>
      </c>
      <c r="P270" s="1">
        <v>1599.5</v>
      </c>
      <c r="Q270" s="1">
        <v>1628.4</v>
      </c>
      <c r="R270" s="1">
        <v>1657.4</v>
      </c>
      <c r="S270" s="1">
        <v>1690.3</v>
      </c>
      <c r="T270" s="1">
        <v>1710.4</v>
      </c>
      <c r="U270" s="1">
        <v>1730.2</v>
      </c>
      <c r="V270" s="1">
        <v>1749.5</v>
      </c>
      <c r="W270" s="1">
        <v>1768.5</v>
      </c>
      <c r="X270" s="1">
        <v>1848.923</v>
      </c>
      <c r="Y270" s="1">
        <v>1869.52</v>
      </c>
      <c r="Z270" s="1">
        <v>1895.07</v>
      </c>
      <c r="AA270" s="1">
        <v>1920.46</v>
      </c>
      <c r="AB270" s="1">
        <v>1945.65</v>
      </c>
      <c r="AC270" s="1">
        <v>1970.56</v>
      </c>
    </row>
    <row r="271" spans="1:29">
      <c r="A271" s="1">
        <f>VLOOKUP(B271,Legend!$C$32:$D$66,2,FALSE)</f>
        <v>82</v>
      </c>
      <c r="B271" s="1" t="s">
        <v>30</v>
      </c>
      <c r="C271" s="1" t="s">
        <v>131</v>
      </c>
      <c r="D271" s="1">
        <v>669.83100000000002</v>
      </c>
      <c r="E271" s="1">
        <v>745.1</v>
      </c>
      <c r="F271" s="1">
        <v>758</v>
      </c>
      <c r="G271" s="1">
        <v>771.1</v>
      </c>
      <c r="H271" s="1">
        <v>784.5</v>
      </c>
      <c r="I271" s="1">
        <v>881.86699999999996</v>
      </c>
      <c r="J271" s="1">
        <v>929.1</v>
      </c>
      <c r="K271" s="1">
        <v>944.3</v>
      </c>
      <c r="L271" s="1">
        <v>959.6</v>
      </c>
      <c r="M271" s="1">
        <v>975</v>
      </c>
      <c r="N271" s="1">
        <v>1038.087</v>
      </c>
      <c r="O271" s="1">
        <v>1067.2</v>
      </c>
      <c r="P271" s="1">
        <v>1091.0999999999999</v>
      </c>
      <c r="Q271" s="1">
        <v>1114.9000000000001</v>
      </c>
      <c r="R271" s="1">
        <v>1138.7</v>
      </c>
      <c r="S271" s="1">
        <v>1167.0999999999999</v>
      </c>
      <c r="T271" s="1">
        <v>1184.5</v>
      </c>
      <c r="U271" s="1">
        <v>1201.7</v>
      </c>
      <c r="V271" s="1">
        <v>1218.8</v>
      </c>
      <c r="W271" s="1">
        <v>1235.7</v>
      </c>
      <c r="X271" s="1">
        <v>1282.9369999999999</v>
      </c>
      <c r="Y271" s="1">
        <v>1299.6300000000001</v>
      </c>
      <c r="Z271" s="1">
        <v>1318.47</v>
      </c>
      <c r="AA271" s="1">
        <v>1337.15</v>
      </c>
      <c r="AB271" s="1">
        <v>1355.62</v>
      </c>
      <c r="AC271" s="1">
        <v>1373.82</v>
      </c>
    </row>
    <row r="272" spans="1:29">
      <c r="A272" s="1">
        <f>VLOOKUP(B272,Legend!$C$32:$D$66,2,FALSE)</f>
        <v>91</v>
      </c>
      <c r="B272" s="1" t="s">
        <v>33</v>
      </c>
      <c r="C272" s="1" t="s">
        <v>131</v>
      </c>
      <c r="F272" s="1">
        <v>758.56894954359416</v>
      </c>
      <c r="G272" s="1">
        <v>774.79537463558927</v>
      </c>
      <c r="H272" s="1">
        <v>791.38311688550334</v>
      </c>
      <c r="I272" s="1">
        <v>688.2</v>
      </c>
      <c r="J272" s="1">
        <v>702.1</v>
      </c>
      <c r="K272" s="1">
        <v>716</v>
      </c>
      <c r="L272" s="1">
        <v>730</v>
      </c>
      <c r="M272" s="1">
        <v>743.9</v>
      </c>
      <c r="N272" s="1">
        <v>760.42200000000003</v>
      </c>
      <c r="O272" s="1">
        <v>786</v>
      </c>
      <c r="P272" s="1">
        <v>807</v>
      </c>
      <c r="Q272" s="1">
        <v>828.3</v>
      </c>
      <c r="R272" s="1">
        <v>849.8</v>
      </c>
      <c r="S272" s="1">
        <v>876</v>
      </c>
      <c r="T272" s="1">
        <v>897.6</v>
      </c>
      <c r="U272" s="1">
        <v>919.4</v>
      </c>
      <c r="V272" s="1">
        <v>941.4</v>
      </c>
      <c r="W272" s="1">
        <v>963.6</v>
      </c>
      <c r="X272" s="1">
        <v>1134.068</v>
      </c>
      <c r="Y272" s="1">
        <v>1149.3800000000001</v>
      </c>
      <c r="Z272" s="1">
        <v>1168.42</v>
      </c>
      <c r="AA272" s="1">
        <v>1187.27</v>
      </c>
      <c r="AB272" s="1">
        <v>1205.82</v>
      </c>
      <c r="AC272" s="1">
        <v>1224.08</v>
      </c>
    </row>
    <row r="273" spans="1:29">
      <c r="A273" s="1">
        <f>VLOOKUP(B273,Legend!$C$32:$D$66,2,FALSE)</f>
        <v>94</v>
      </c>
      <c r="B273" s="1" t="s">
        <v>14</v>
      </c>
      <c r="C273" s="1" t="s">
        <v>131</v>
      </c>
      <c r="D273" s="1">
        <v>1697.9259999999999</v>
      </c>
      <c r="E273" s="1">
        <v>2261.1</v>
      </c>
      <c r="F273" s="1">
        <v>1550.831050456406</v>
      </c>
      <c r="G273" s="1">
        <v>1584.0046253644109</v>
      </c>
      <c r="H273" s="1">
        <v>1617.9168831144968</v>
      </c>
      <c r="I273" s="1">
        <v>2439.8380000000002</v>
      </c>
      <c r="J273" s="1">
        <v>1974.9</v>
      </c>
      <c r="K273" s="1">
        <v>2015.6</v>
      </c>
      <c r="L273" s="1">
        <v>2056.5</v>
      </c>
      <c r="M273" s="1">
        <v>2097.5</v>
      </c>
      <c r="N273" s="1">
        <v>2833.3809999999999</v>
      </c>
      <c r="O273" s="1">
        <v>2915.3</v>
      </c>
      <c r="P273" s="1">
        <v>2973.8</v>
      </c>
      <c r="Q273" s="1">
        <v>3032.5</v>
      </c>
      <c r="R273" s="1">
        <v>3091</v>
      </c>
      <c r="S273" s="1">
        <v>3153.8</v>
      </c>
      <c r="T273" s="1">
        <v>3203.4</v>
      </c>
      <c r="U273" s="1">
        <v>3252.2</v>
      </c>
      <c r="V273" s="1">
        <v>3300.2</v>
      </c>
      <c r="W273" s="1">
        <v>3347.1</v>
      </c>
      <c r="X273" s="1">
        <v>4303.7070000000003</v>
      </c>
      <c r="Y273" s="1">
        <v>4356.8</v>
      </c>
      <c r="Z273" s="1">
        <v>4420.75</v>
      </c>
      <c r="AA273" s="1">
        <v>4482.6899999999996</v>
      </c>
      <c r="AB273" s="1">
        <v>4542.58</v>
      </c>
      <c r="AC273" s="1">
        <v>4600.43</v>
      </c>
    </row>
    <row r="274" spans="1:29">
      <c r="A274" s="1">
        <f>VLOOKUP(B274,Legend!$C$32:$D$66,2,FALSE)</f>
        <v>11</v>
      </c>
      <c r="B274" s="1" t="s">
        <v>3</v>
      </c>
      <c r="C274" s="1" t="s">
        <v>135</v>
      </c>
      <c r="D274" s="1">
        <v>57956</v>
      </c>
      <c r="E274" s="1">
        <v>57956</v>
      </c>
      <c r="F274" s="1">
        <v>57956</v>
      </c>
      <c r="G274" s="1">
        <v>57956</v>
      </c>
      <c r="H274" s="1">
        <v>57956</v>
      </c>
      <c r="I274" s="1">
        <v>57956</v>
      </c>
      <c r="J274" s="1">
        <v>57956</v>
      </c>
      <c r="K274" s="1">
        <v>57956</v>
      </c>
      <c r="L274" s="1">
        <v>57956</v>
      </c>
      <c r="M274" s="1">
        <v>57956</v>
      </c>
      <c r="N274" s="1">
        <v>57956</v>
      </c>
      <c r="O274" s="1">
        <v>57956</v>
      </c>
      <c r="P274" s="1">
        <v>57956</v>
      </c>
      <c r="Q274" s="1">
        <v>57956</v>
      </c>
      <c r="R274" s="1">
        <v>57956</v>
      </c>
      <c r="S274" s="1">
        <v>57956</v>
      </c>
      <c r="T274" s="1">
        <v>57956</v>
      </c>
      <c r="U274" s="1">
        <v>57956</v>
      </c>
      <c r="V274" s="1">
        <v>57956</v>
      </c>
      <c r="W274" s="1">
        <v>57956</v>
      </c>
      <c r="X274" s="1">
        <v>57956</v>
      </c>
      <c r="Y274" s="1">
        <v>57956</v>
      </c>
      <c r="Z274" s="1">
        <v>56834.75</v>
      </c>
      <c r="AA274" s="1">
        <v>56834.75</v>
      </c>
      <c r="AB274" s="1">
        <v>56835.02</v>
      </c>
      <c r="AC274" s="1">
        <v>56835.02</v>
      </c>
    </row>
    <row r="275" spans="1:29">
      <c r="A275" s="1">
        <f>VLOOKUP(B275,Legend!$C$32:$D$66,2,FALSE)</f>
        <v>12</v>
      </c>
      <c r="B275" s="1" t="s">
        <v>41</v>
      </c>
      <c r="C275" s="1" t="s">
        <v>135</v>
      </c>
      <c r="D275" s="1">
        <v>72981.23</v>
      </c>
      <c r="E275" s="1">
        <v>72981.23</v>
      </c>
      <c r="F275" s="1">
        <v>72981.23</v>
      </c>
      <c r="G275" s="1">
        <v>72981.23</v>
      </c>
      <c r="H275" s="1">
        <v>72981.23</v>
      </c>
      <c r="I275" s="1">
        <v>72981.23</v>
      </c>
      <c r="J275" s="1">
        <v>72981.23</v>
      </c>
      <c r="K275" s="1">
        <v>72981.23</v>
      </c>
      <c r="L275" s="1">
        <v>72981.23</v>
      </c>
      <c r="M275" s="1">
        <v>72981.23</v>
      </c>
      <c r="N275" s="1">
        <v>72981.23</v>
      </c>
      <c r="O275" s="1">
        <v>72981.23</v>
      </c>
      <c r="P275" s="1">
        <v>72981.23</v>
      </c>
      <c r="Q275" s="1">
        <v>72981.23</v>
      </c>
      <c r="R275" s="1">
        <v>72981.23</v>
      </c>
      <c r="S275" s="1">
        <v>72981.23</v>
      </c>
      <c r="T275" s="1">
        <v>72981.23</v>
      </c>
      <c r="U275" s="1">
        <v>72981.23</v>
      </c>
      <c r="V275" s="1">
        <v>72981.23</v>
      </c>
      <c r="W275" s="1">
        <v>72981.23</v>
      </c>
      <c r="X275" s="1">
        <v>72981.23</v>
      </c>
      <c r="Y275" s="1">
        <v>72981.23</v>
      </c>
      <c r="Z275" s="1">
        <v>72460.740000000005</v>
      </c>
      <c r="AA275" s="1">
        <v>72460.740000000005</v>
      </c>
      <c r="AB275" s="1">
        <v>72437.759999999995</v>
      </c>
      <c r="AC275" s="1">
        <v>72437.759999999995</v>
      </c>
    </row>
    <row r="276" spans="1:29">
      <c r="A276" s="1">
        <f>VLOOKUP(B276,Legend!$C$32:$D$66,2,FALSE)</f>
        <v>13</v>
      </c>
      <c r="B276" s="1" t="s">
        <v>39</v>
      </c>
      <c r="C276" s="1" t="s">
        <v>135</v>
      </c>
      <c r="D276" s="1">
        <v>42012.89</v>
      </c>
      <c r="E276" s="1">
        <v>42012.89</v>
      </c>
      <c r="F276" s="1">
        <v>42012.89</v>
      </c>
      <c r="G276" s="1">
        <v>42012.89</v>
      </c>
      <c r="H276" s="1">
        <v>42012.89</v>
      </c>
      <c r="I276" s="1">
        <v>42012.89</v>
      </c>
      <c r="J276" s="1">
        <v>42012.89</v>
      </c>
      <c r="K276" s="1">
        <v>42012.89</v>
      </c>
      <c r="L276" s="1">
        <v>42012.89</v>
      </c>
      <c r="M276" s="1">
        <v>42012.89</v>
      </c>
      <c r="N276" s="1">
        <v>42012.89</v>
      </c>
      <c r="O276" s="1">
        <v>42012.89</v>
      </c>
      <c r="P276" s="1">
        <v>42012.89</v>
      </c>
      <c r="Q276" s="1">
        <v>42012.89</v>
      </c>
      <c r="R276" s="1">
        <v>42012.89</v>
      </c>
      <c r="S276" s="1">
        <v>42012.89</v>
      </c>
      <c r="T276" s="1">
        <v>42012.89</v>
      </c>
      <c r="U276" s="1">
        <v>42012.89</v>
      </c>
      <c r="V276" s="1">
        <v>42012.89</v>
      </c>
      <c r="W276" s="1">
        <v>42012.89</v>
      </c>
      <c r="X276" s="1">
        <v>42012.89</v>
      </c>
      <c r="Y276" s="1">
        <v>42012.89</v>
      </c>
      <c r="Z276" s="1">
        <v>42119.54</v>
      </c>
      <c r="AA276" s="1">
        <v>42119.54</v>
      </c>
      <c r="AB276" s="1">
        <v>42107.67</v>
      </c>
      <c r="AC276" s="1">
        <v>42107.67</v>
      </c>
    </row>
    <row r="277" spans="1:29">
      <c r="A277" s="1">
        <f>VLOOKUP(B277,Legend!$C$32:$D$66,2,FALSE)</f>
        <v>14</v>
      </c>
      <c r="B277" s="1" t="s">
        <v>4</v>
      </c>
      <c r="C277" s="1" t="s">
        <v>135</v>
      </c>
      <c r="D277" s="1">
        <v>87023.66</v>
      </c>
      <c r="E277" s="1">
        <v>87023.66</v>
      </c>
      <c r="F277" s="1">
        <v>87023.66</v>
      </c>
      <c r="G277" s="1">
        <v>87023.66</v>
      </c>
      <c r="H277" s="1">
        <v>87023.66</v>
      </c>
      <c r="I277" s="1">
        <v>87023.66</v>
      </c>
      <c r="J277" s="1">
        <v>87023.66</v>
      </c>
      <c r="K277" s="1">
        <v>87023.66</v>
      </c>
      <c r="L277" s="1">
        <v>87023.66</v>
      </c>
      <c r="M277" s="1">
        <v>87023.66</v>
      </c>
      <c r="N277" s="1">
        <v>87023.66</v>
      </c>
      <c r="O277" s="1">
        <v>87023.66</v>
      </c>
      <c r="P277" s="1">
        <v>87023.66</v>
      </c>
      <c r="Q277" s="1">
        <v>87023.66</v>
      </c>
      <c r="R277" s="1">
        <v>87023.66</v>
      </c>
      <c r="S277" s="1">
        <v>87023.66</v>
      </c>
      <c r="T277" s="1">
        <v>87023.66</v>
      </c>
      <c r="U277" s="1">
        <v>87023.66</v>
      </c>
      <c r="V277" s="1">
        <v>87023.66</v>
      </c>
      <c r="W277" s="1">
        <v>87023.66</v>
      </c>
      <c r="X277" s="1">
        <v>87023.66</v>
      </c>
      <c r="Y277" s="1">
        <v>87023.66</v>
      </c>
      <c r="Z277" s="1">
        <v>89935.9</v>
      </c>
      <c r="AA277" s="1">
        <v>89935.9</v>
      </c>
      <c r="AB277" s="1">
        <v>89900.78</v>
      </c>
      <c r="AC277" s="1">
        <v>89900.78</v>
      </c>
    </row>
    <row r="278" spans="1:29">
      <c r="A278" s="1">
        <f>VLOOKUP(B278,Legend!$C$32:$D$66,2,FALSE)</f>
        <v>15</v>
      </c>
      <c r="B278" s="1" t="s">
        <v>5</v>
      </c>
      <c r="C278" s="1" t="s">
        <v>135</v>
      </c>
      <c r="D278" s="1">
        <v>50058.16</v>
      </c>
      <c r="E278" s="1">
        <v>50058.16</v>
      </c>
      <c r="F278" s="1">
        <v>50058.16</v>
      </c>
      <c r="G278" s="1">
        <v>50058.16</v>
      </c>
      <c r="H278" s="1">
        <v>50058.16</v>
      </c>
      <c r="I278" s="1">
        <v>50058.16</v>
      </c>
      <c r="J278" s="1">
        <v>50058.16</v>
      </c>
      <c r="K278" s="1">
        <v>50058.16</v>
      </c>
      <c r="L278" s="1">
        <v>50058.16</v>
      </c>
      <c r="M278" s="1">
        <v>50058.16</v>
      </c>
      <c r="N278" s="1">
        <v>50058.16</v>
      </c>
      <c r="O278" s="1">
        <v>50058.16</v>
      </c>
      <c r="P278" s="1">
        <v>50058.16</v>
      </c>
      <c r="Q278" s="1">
        <v>50058.16</v>
      </c>
      <c r="R278" s="1">
        <v>50058.16</v>
      </c>
      <c r="S278" s="1">
        <v>50058.16</v>
      </c>
      <c r="T278" s="1">
        <v>50058.16</v>
      </c>
      <c r="U278" s="1">
        <v>50058.16</v>
      </c>
      <c r="V278" s="1">
        <v>50058.16</v>
      </c>
      <c r="W278" s="1">
        <v>50058.16</v>
      </c>
      <c r="X278" s="1">
        <v>50058.16</v>
      </c>
      <c r="Y278" s="1">
        <v>50058.16</v>
      </c>
      <c r="Z278" s="1">
        <v>49026.58</v>
      </c>
      <c r="AA278" s="1">
        <v>49026.58</v>
      </c>
      <c r="AB278" s="1">
        <v>49023.040000000001</v>
      </c>
      <c r="AC278" s="1">
        <v>49023.040000000001</v>
      </c>
    </row>
    <row r="279" spans="1:29">
      <c r="A279" s="1">
        <f>VLOOKUP(B279,Legend!$C$32:$D$66,2,FALSE)</f>
        <v>16</v>
      </c>
      <c r="B279" s="1" t="s">
        <v>40</v>
      </c>
      <c r="C279" s="1" t="s">
        <v>135</v>
      </c>
      <c r="D279" s="1">
        <v>91592.43</v>
      </c>
      <c r="E279" s="1">
        <v>91592.43</v>
      </c>
      <c r="F279" s="1">
        <v>91592.43</v>
      </c>
      <c r="G279" s="1">
        <v>91592.43</v>
      </c>
      <c r="H279" s="1">
        <v>91592.43</v>
      </c>
      <c r="I279" s="1">
        <v>91592.43</v>
      </c>
      <c r="J279" s="1">
        <v>91592.43</v>
      </c>
      <c r="K279" s="1">
        <v>91592.43</v>
      </c>
      <c r="L279" s="1">
        <v>91592.43</v>
      </c>
      <c r="M279" s="1">
        <v>91592.43</v>
      </c>
      <c r="N279" s="1">
        <v>91592.43</v>
      </c>
      <c r="O279" s="1">
        <v>91592.43</v>
      </c>
      <c r="P279" s="1">
        <v>91592.43</v>
      </c>
      <c r="Q279" s="1">
        <v>91592.43</v>
      </c>
      <c r="R279" s="1">
        <v>91592.43</v>
      </c>
      <c r="S279" s="1">
        <v>91592.43</v>
      </c>
      <c r="T279" s="1">
        <v>91592.43</v>
      </c>
      <c r="U279" s="1">
        <v>91592.43</v>
      </c>
      <c r="V279" s="1">
        <v>91592.43</v>
      </c>
      <c r="W279" s="1">
        <v>91592.43</v>
      </c>
      <c r="X279" s="1">
        <v>91592.43</v>
      </c>
      <c r="Y279" s="1">
        <v>91592.43</v>
      </c>
      <c r="Z279" s="1">
        <v>86771.68</v>
      </c>
      <c r="AA279" s="1">
        <v>86771.68</v>
      </c>
      <c r="AB279" s="1">
        <v>86771.92</v>
      </c>
      <c r="AC279" s="1">
        <v>86771.92</v>
      </c>
    </row>
    <row r="280" spans="1:29">
      <c r="A280" s="1">
        <f>VLOOKUP(B280,Legend!$C$32:$D$66,2,FALSE)</f>
        <v>17</v>
      </c>
      <c r="B280" s="1" t="s">
        <v>6</v>
      </c>
      <c r="C280" s="1" t="s">
        <v>135</v>
      </c>
      <c r="D280" s="1">
        <v>19919.330000000002</v>
      </c>
      <c r="E280" s="1">
        <v>19919.330000000002</v>
      </c>
      <c r="F280" s="1">
        <v>19919.330000000002</v>
      </c>
      <c r="G280" s="1">
        <v>19919.330000000002</v>
      </c>
      <c r="H280" s="1">
        <v>19919.330000000002</v>
      </c>
      <c r="I280" s="1">
        <v>19919.330000000002</v>
      </c>
      <c r="J280" s="1">
        <v>19919.330000000002</v>
      </c>
      <c r="K280" s="1">
        <v>19919.330000000002</v>
      </c>
      <c r="L280" s="1">
        <v>19919.330000000002</v>
      </c>
      <c r="M280" s="1">
        <v>19919.330000000002</v>
      </c>
      <c r="N280" s="1">
        <v>19919.330000000002</v>
      </c>
      <c r="O280" s="1">
        <v>19919.330000000002</v>
      </c>
      <c r="P280" s="1">
        <v>19919.330000000002</v>
      </c>
      <c r="Q280" s="1">
        <v>19919.330000000002</v>
      </c>
      <c r="R280" s="1">
        <v>19919.330000000002</v>
      </c>
      <c r="S280" s="1">
        <v>19919.330000000002</v>
      </c>
      <c r="T280" s="1">
        <v>19919.330000000002</v>
      </c>
      <c r="U280" s="1">
        <v>19919.330000000002</v>
      </c>
      <c r="V280" s="1">
        <v>19919.330000000002</v>
      </c>
      <c r="W280" s="1">
        <v>19919.330000000002</v>
      </c>
      <c r="X280" s="1">
        <v>19919.330000000002</v>
      </c>
      <c r="Y280" s="1">
        <v>19919.330000000002</v>
      </c>
      <c r="Z280" s="1">
        <v>20128.34</v>
      </c>
      <c r="AA280" s="1">
        <v>20128.34</v>
      </c>
      <c r="AB280" s="1">
        <v>20122.21</v>
      </c>
      <c r="AC280" s="1">
        <v>20122.21</v>
      </c>
    </row>
    <row r="281" spans="1:29">
      <c r="A281" s="1">
        <f>VLOOKUP(B281,Legend!$C$32:$D$66,2,FALSE)</f>
        <v>18</v>
      </c>
      <c r="B281" s="1" t="s">
        <v>7</v>
      </c>
      <c r="C281" s="1" t="s">
        <v>135</v>
      </c>
      <c r="D281" s="1">
        <v>34623.800000000003</v>
      </c>
      <c r="E281" s="1">
        <v>34623.800000000003</v>
      </c>
      <c r="F281" s="1">
        <v>34623.800000000003</v>
      </c>
      <c r="G281" s="1">
        <v>34623.800000000003</v>
      </c>
      <c r="H281" s="1">
        <v>34623.800000000003</v>
      </c>
      <c r="I281" s="1">
        <v>34623.800000000003</v>
      </c>
      <c r="J281" s="1">
        <v>34623.800000000003</v>
      </c>
      <c r="K281" s="1">
        <v>34623.800000000003</v>
      </c>
      <c r="L281" s="1">
        <v>34623.800000000003</v>
      </c>
      <c r="M281" s="1">
        <v>34623.800000000003</v>
      </c>
      <c r="N281" s="1">
        <v>34623.800000000003</v>
      </c>
      <c r="O281" s="1">
        <v>34623.800000000003</v>
      </c>
      <c r="P281" s="1">
        <v>34623.800000000003</v>
      </c>
      <c r="Q281" s="1">
        <v>34623.800000000003</v>
      </c>
      <c r="R281" s="1">
        <v>34623.800000000003</v>
      </c>
      <c r="S281" s="1">
        <v>34623.800000000003</v>
      </c>
      <c r="T281" s="1">
        <v>34623.800000000003</v>
      </c>
      <c r="U281" s="1">
        <v>34623.800000000003</v>
      </c>
      <c r="V281" s="1">
        <v>34623.800000000003</v>
      </c>
      <c r="W281" s="1">
        <v>34623.800000000003</v>
      </c>
      <c r="X281" s="1">
        <v>34623.800000000003</v>
      </c>
      <c r="Y281" s="1">
        <v>34623.800000000003</v>
      </c>
      <c r="Z281" s="1">
        <v>33570.26</v>
      </c>
      <c r="AA281" s="1">
        <v>33570.26</v>
      </c>
      <c r="AB281" s="1">
        <v>33570.76</v>
      </c>
      <c r="AC281" s="1">
        <v>33570.76</v>
      </c>
    </row>
    <row r="282" spans="1:29">
      <c r="A282" s="1">
        <f>VLOOKUP(B282,Legend!$C$32:$D$66,2,FALSE)</f>
        <v>19</v>
      </c>
      <c r="B282" s="1" t="s">
        <v>28</v>
      </c>
      <c r="C282" s="1" t="s">
        <v>135</v>
      </c>
      <c r="D282" s="1">
        <v>16424.060000000001</v>
      </c>
      <c r="E282" s="1">
        <v>16424.060000000001</v>
      </c>
      <c r="F282" s="1">
        <v>16424.060000000001</v>
      </c>
      <c r="G282" s="1">
        <v>16424.060000000001</v>
      </c>
      <c r="H282" s="1">
        <v>16424.060000000001</v>
      </c>
      <c r="I282" s="1">
        <v>16424.060000000001</v>
      </c>
      <c r="J282" s="1">
        <v>16424.060000000001</v>
      </c>
      <c r="K282" s="1">
        <v>16424.060000000001</v>
      </c>
      <c r="L282" s="1">
        <v>16424.060000000001</v>
      </c>
      <c r="M282" s="1">
        <v>16424.060000000001</v>
      </c>
      <c r="N282" s="1">
        <v>16424.060000000001</v>
      </c>
      <c r="O282" s="1">
        <v>16424.060000000001</v>
      </c>
      <c r="P282" s="1">
        <v>16424.060000000001</v>
      </c>
      <c r="Q282" s="1">
        <v>16424.060000000001</v>
      </c>
      <c r="R282" s="1">
        <v>16424.060000000001</v>
      </c>
      <c r="S282" s="1">
        <v>16424.060000000001</v>
      </c>
      <c r="T282" s="1">
        <v>16424.060000000001</v>
      </c>
      <c r="U282" s="1">
        <v>16424.060000000001</v>
      </c>
      <c r="V282" s="1">
        <v>16424.060000000001</v>
      </c>
      <c r="W282" s="1">
        <v>16424.060000000001</v>
      </c>
      <c r="X282" s="1">
        <v>16424.060000000001</v>
      </c>
      <c r="Y282" s="1">
        <v>16424.060000000001</v>
      </c>
      <c r="Z282" s="1">
        <v>16690.13</v>
      </c>
      <c r="AA282" s="1">
        <v>16690.13</v>
      </c>
      <c r="AB282" s="1">
        <v>16670.23</v>
      </c>
      <c r="AC282" s="1">
        <v>16670.23</v>
      </c>
    </row>
    <row r="283" spans="1:29">
      <c r="A283" s="1">
        <f>VLOOKUP(B283,Legend!$C$32:$D$66,2,FALSE)</f>
        <v>21</v>
      </c>
      <c r="B283" s="1" t="s">
        <v>29</v>
      </c>
      <c r="C283" s="1" t="s">
        <v>135</v>
      </c>
      <c r="D283" s="1">
        <v>8201.7199999999993</v>
      </c>
      <c r="E283" s="1">
        <v>8201.7199999999993</v>
      </c>
      <c r="F283" s="1">
        <v>8201.7199999999993</v>
      </c>
      <c r="G283" s="1">
        <v>8201.7199999999993</v>
      </c>
      <c r="H283" s="1">
        <v>8201.7199999999993</v>
      </c>
      <c r="I283" s="1">
        <v>8201.7199999999993</v>
      </c>
      <c r="J283" s="1">
        <v>8201.7199999999993</v>
      </c>
      <c r="K283" s="1">
        <v>8201.7199999999993</v>
      </c>
      <c r="L283" s="1">
        <v>8201.7199999999993</v>
      </c>
      <c r="M283" s="1">
        <v>8201.7199999999993</v>
      </c>
      <c r="N283" s="1">
        <v>8201.7199999999993</v>
      </c>
      <c r="O283" s="1">
        <v>8201.7199999999993</v>
      </c>
      <c r="P283" s="1">
        <v>8201.7199999999993</v>
      </c>
      <c r="Q283" s="1">
        <v>8201.7199999999993</v>
      </c>
      <c r="R283" s="1">
        <v>8201.7199999999993</v>
      </c>
      <c r="S283" s="1">
        <v>8201.7199999999993</v>
      </c>
      <c r="T283" s="1">
        <v>8201.7199999999993</v>
      </c>
      <c r="U283" s="1">
        <v>8201.7199999999993</v>
      </c>
      <c r="V283" s="1">
        <v>8201.7199999999993</v>
      </c>
      <c r="W283" s="1">
        <v>8201.7199999999993</v>
      </c>
      <c r="X283" s="1">
        <v>8201.7199999999993</v>
      </c>
      <c r="Y283" s="1">
        <v>8201.7199999999993</v>
      </c>
      <c r="Z283" s="1">
        <v>8269.7099999999991</v>
      </c>
      <c r="AA283" s="1">
        <v>8269.7099999999991</v>
      </c>
      <c r="AB283" s="1">
        <v>8170.38</v>
      </c>
      <c r="AC283" s="1">
        <v>8170.38</v>
      </c>
    </row>
    <row r="284" spans="1:29">
      <c r="A284" s="1">
        <f>VLOOKUP(B284,Legend!$C$32:$D$66,2,FALSE)</f>
        <v>31</v>
      </c>
      <c r="B284" s="1" t="s">
        <v>8</v>
      </c>
      <c r="C284" s="1" t="s">
        <v>135</v>
      </c>
      <c r="D284" s="1">
        <v>664.01</v>
      </c>
      <c r="E284" s="1">
        <v>664.01</v>
      </c>
      <c r="F284" s="1">
        <v>664.01</v>
      </c>
      <c r="G284" s="1">
        <v>664.01</v>
      </c>
      <c r="H284" s="1">
        <v>664.01</v>
      </c>
      <c r="I284" s="1">
        <v>664.01</v>
      </c>
      <c r="J284" s="1">
        <v>664.01</v>
      </c>
      <c r="K284" s="1">
        <v>664.01</v>
      </c>
      <c r="L284" s="1">
        <v>664.01</v>
      </c>
      <c r="M284" s="1">
        <v>664.01</v>
      </c>
      <c r="N284" s="1">
        <v>664.01</v>
      </c>
      <c r="O284" s="1">
        <v>664.01</v>
      </c>
      <c r="P284" s="1">
        <v>664.01</v>
      </c>
      <c r="Q284" s="1">
        <v>664.01</v>
      </c>
      <c r="R284" s="1">
        <v>664.01</v>
      </c>
      <c r="S284" s="1">
        <v>664.01</v>
      </c>
      <c r="T284" s="1">
        <v>664.01</v>
      </c>
      <c r="U284" s="1">
        <v>664.01</v>
      </c>
      <c r="V284" s="1">
        <v>664.01</v>
      </c>
      <c r="W284" s="1">
        <v>664.01</v>
      </c>
      <c r="X284" s="1">
        <v>664.01</v>
      </c>
      <c r="Y284" s="1">
        <v>664.01</v>
      </c>
      <c r="Z284" s="1">
        <v>660.98</v>
      </c>
      <c r="AA284" s="1">
        <v>660.98</v>
      </c>
      <c r="AB284" s="1">
        <v>661.53</v>
      </c>
      <c r="AC284" s="1">
        <v>661.53</v>
      </c>
    </row>
    <row r="285" spans="1:29">
      <c r="A285" s="1">
        <f>VLOOKUP(B285,Legend!$C$32:$D$66,2,FALSE)</f>
        <v>32</v>
      </c>
      <c r="B285" s="1" t="s">
        <v>21</v>
      </c>
      <c r="C285" s="1" t="s">
        <v>135</v>
      </c>
      <c r="D285" s="1">
        <v>35377.760000000002</v>
      </c>
      <c r="E285" s="1">
        <v>35377.760000000002</v>
      </c>
      <c r="F285" s="1">
        <v>35377.760000000002</v>
      </c>
      <c r="G285" s="1">
        <v>35377.760000000002</v>
      </c>
      <c r="H285" s="1">
        <v>35377.760000000002</v>
      </c>
      <c r="I285" s="1">
        <v>35377.760000000002</v>
      </c>
      <c r="J285" s="1">
        <v>35377.760000000002</v>
      </c>
      <c r="K285" s="1">
        <v>35377.760000000002</v>
      </c>
      <c r="L285" s="1">
        <v>35377.760000000002</v>
      </c>
      <c r="M285" s="1">
        <v>35377.760000000002</v>
      </c>
      <c r="N285" s="1">
        <v>35377.760000000002</v>
      </c>
      <c r="O285" s="1">
        <v>35377.760000000002</v>
      </c>
      <c r="P285" s="1">
        <v>35377.760000000002</v>
      </c>
      <c r="Q285" s="1">
        <v>35377.760000000002</v>
      </c>
      <c r="R285" s="1">
        <v>35377.760000000002</v>
      </c>
      <c r="S285" s="1">
        <v>35377.760000000002</v>
      </c>
      <c r="T285" s="1">
        <v>35377.760000000002</v>
      </c>
      <c r="U285" s="1">
        <v>35377.760000000002</v>
      </c>
      <c r="V285" s="1">
        <v>35377.760000000002</v>
      </c>
      <c r="W285" s="1">
        <v>35377.760000000002</v>
      </c>
      <c r="X285" s="1">
        <v>35377.760000000002</v>
      </c>
      <c r="Y285" s="1">
        <v>35377.760000000002</v>
      </c>
      <c r="Z285" s="1">
        <v>37044.86</v>
      </c>
      <c r="AA285" s="1">
        <v>37044.86</v>
      </c>
      <c r="AB285" s="1">
        <v>37053.33</v>
      </c>
      <c r="AC285" s="1">
        <v>37053.33</v>
      </c>
    </row>
    <row r="286" spans="1:29">
      <c r="A286" s="1">
        <f>VLOOKUP(B286,Legend!$C$32:$D$66,2,FALSE)</f>
        <v>33</v>
      </c>
      <c r="B286" s="1" t="s">
        <v>22</v>
      </c>
      <c r="C286" s="1" t="s">
        <v>135</v>
      </c>
      <c r="D286" s="1">
        <v>32800.69</v>
      </c>
      <c r="E286" s="1">
        <v>32800.69</v>
      </c>
      <c r="F286" s="1">
        <v>32800.69</v>
      </c>
      <c r="G286" s="1">
        <v>32800.69</v>
      </c>
      <c r="H286" s="1">
        <v>32800.69</v>
      </c>
      <c r="I286" s="1">
        <v>32800.69</v>
      </c>
      <c r="J286" s="1">
        <v>32800.69</v>
      </c>
      <c r="K286" s="1">
        <v>32800.69</v>
      </c>
      <c r="L286" s="1">
        <v>32800.69</v>
      </c>
      <c r="M286" s="1">
        <v>32800.69</v>
      </c>
      <c r="N286" s="1">
        <v>32800.69</v>
      </c>
      <c r="O286" s="1">
        <v>32800.69</v>
      </c>
      <c r="P286" s="1">
        <v>32800.69</v>
      </c>
      <c r="Q286" s="1">
        <v>32800.69</v>
      </c>
      <c r="R286" s="1">
        <v>32800.69</v>
      </c>
      <c r="S286" s="1">
        <v>32800.69</v>
      </c>
      <c r="T286" s="1">
        <v>32800.69</v>
      </c>
      <c r="U286" s="1">
        <v>32800.69</v>
      </c>
      <c r="V286" s="1">
        <v>32800.69</v>
      </c>
      <c r="W286" s="1">
        <v>32800.69</v>
      </c>
      <c r="X286" s="1">
        <v>32800.69</v>
      </c>
      <c r="Y286" s="1">
        <v>32800.69</v>
      </c>
      <c r="Z286" s="1">
        <v>34337.49</v>
      </c>
      <c r="AA286" s="1">
        <v>34337.49</v>
      </c>
      <c r="AB286" s="1">
        <v>34347.43</v>
      </c>
      <c r="AC286" s="1">
        <v>34347.43</v>
      </c>
    </row>
    <row r="287" spans="1:29">
      <c r="A287" s="1">
        <f>VLOOKUP(B287,Legend!$C$32:$D$66,2,FALSE)</f>
        <v>34</v>
      </c>
      <c r="B287" s="1" t="s">
        <v>9</v>
      </c>
      <c r="C287" s="1" t="s">
        <v>135</v>
      </c>
      <c r="D287" s="1">
        <v>3133.15</v>
      </c>
      <c r="E287" s="1">
        <v>3133.15</v>
      </c>
      <c r="F287" s="1">
        <v>3133.15</v>
      </c>
      <c r="G287" s="1">
        <v>3133.15</v>
      </c>
      <c r="H287" s="1">
        <v>3133.15</v>
      </c>
      <c r="I287" s="1">
        <v>3133.15</v>
      </c>
      <c r="J287" s="1">
        <v>3133.15</v>
      </c>
      <c r="K287" s="1">
        <v>3133.15</v>
      </c>
      <c r="L287" s="1">
        <v>3133.15</v>
      </c>
      <c r="M287" s="1">
        <v>3133.15</v>
      </c>
      <c r="N287" s="1">
        <v>3133.15</v>
      </c>
      <c r="O287" s="1">
        <v>3133.15</v>
      </c>
      <c r="P287" s="1">
        <v>3133.15</v>
      </c>
      <c r="Q287" s="1">
        <v>3133.15</v>
      </c>
      <c r="R287" s="1">
        <v>3133.15</v>
      </c>
      <c r="S287" s="1">
        <v>3133.15</v>
      </c>
      <c r="T287" s="1">
        <v>3133.15</v>
      </c>
      <c r="U287" s="1">
        <v>3133.15</v>
      </c>
      <c r="V287" s="1">
        <v>3133.15</v>
      </c>
      <c r="W287" s="1">
        <v>3133.15</v>
      </c>
      <c r="X287" s="1">
        <v>3133.15</v>
      </c>
      <c r="Y287" s="1">
        <v>3133.15</v>
      </c>
      <c r="Z287" s="1">
        <v>3170.65</v>
      </c>
      <c r="AA287" s="1">
        <v>3170.65</v>
      </c>
      <c r="AB287" s="1">
        <v>3170.36</v>
      </c>
      <c r="AC287" s="1">
        <v>3170.36</v>
      </c>
    </row>
    <row r="288" spans="1:29">
      <c r="A288" s="1">
        <f>VLOOKUP(B288,Legend!$C$32:$D$66,2,FALSE)</f>
        <v>35</v>
      </c>
      <c r="B288" s="1" t="s">
        <v>23</v>
      </c>
      <c r="C288" s="1" t="s">
        <v>135</v>
      </c>
      <c r="D288" s="1">
        <v>47799.75</v>
      </c>
      <c r="E288" s="1">
        <v>47799.75</v>
      </c>
      <c r="F288" s="1">
        <v>47799.75</v>
      </c>
      <c r="G288" s="1">
        <v>47799.75</v>
      </c>
      <c r="H288" s="1">
        <v>47799.75</v>
      </c>
      <c r="I288" s="1">
        <v>47799.75</v>
      </c>
      <c r="J288" s="1">
        <v>47799.75</v>
      </c>
      <c r="K288" s="1">
        <v>47799.75</v>
      </c>
      <c r="L288" s="1">
        <v>47799.75</v>
      </c>
      <c r="M288" s="1">
        <v>47799.75</v>
      </c>
      <c r="N288" s="1">
        <v>47799.75</v>
      </c>
      <c r="O288" s="1">
        <v>47799.75</v>
      </c>
      <c r="P288" s="1">
        <v>47799.75</v>
      </c>
      <c r="Q288" s="1">
        <v>47799.75</v>
      </c>
      <c r="R288" s="1">
        <v>47799.75</v>
      </c>
      <c r="S288" s="1">
        <v>47799.75</v>
      </c>
      <c r="T288" s="1">
        <v>47799.75</v>
      </c>
      <c r="U288" s="1">
        <v>47799.75</v>
      </c>
      <c r="V288" s="1">
        <v>47799.75</v>
      </c>
      <c r="W288" s="1">
        <v>47803.49</v>
      </c>
      <c r="X288" s="1">
        <v>47803.49</v>
      </c>
      <c r="Y288" s="1">
        <v>47803.49</v>
      </c>
      <c r="Z288" s="1">
        <v>48036.84</v>
      </c>
      <c r="AA288" s="1">
        <v>48036.84</v>
      </c>
      <c r="AB288" s="1">
        <v>48055.88</v>
      </c>
      <c r="AC288" s="1">
        <v>48055.88</v>
      </c>
    </row>
    <row r="289" spans="1:29">
      <c r="A289" s="1">
        <f>VLOOKUP(B289,Legend!$C$32:$D$66,2,FALSE)</f>
        <v>36</v>
      </c>
      <c r="B289" s="1" t="s">
        <v>10</v>
      </c>
      <c r="C289" s="1" t="s">
        <v>135</v>
      </c>
      <c r="D289" s="1">
        <v>9662.92</v>
      </c>
      <c r="E289" s="1">
        <v>9662.92</v>
      </c>
      <c r="F289" s="1">
        <v>9662.92</v>
      </c>
      <c r="G289" s="1">
        <v>9662.92</v>
      </c>
      <c r="H289" s="1">
        <v>9662.92</v>
      </c>
      <c r="I289" s="1">
        <v>9662.92</v>
      </c>
      <c r="J289" s="1">
        <v>9662.92</v>
      </c>
      <c r="K289" s="1">
        <v>9662.92</v>
      </c>
      <c r="L289" s="1">
        <v>9662.92</v>
      </c>
      <c r="M289" s="1">
        <v>9662.92</v>
      </c>
      <c r="N289" s="1">
        <v>9662.92</v>
      </c>
      <c r="O289" s="1">
        <v>9662.92</v>
      </c>
      <c r="P289" s="1">
        <v>9662.92</v>
      </c>
      <c r="Q289" s="1">
        <v>9662.92</v>
      </c>
      <c r="R289" s="1">
        <v>9662.92</v>
      </c>
      <c r="S289" s="1">
        <v>9662.92</v>
      </c>
      <c r="T289" s="1">
        <v>9662.92</v>
      </c>
      <c r="U289" s="1">
        <v>9662.92</v>
      </c>
      <c r="V289" s="1">
        <v>9662.92</v>
      </c>
      <c r="W289" s="1">
        <v>9662.92</v>
      </c>
      <c r="X289" s="1">
        <v>9662.92</v>
      </c>
      <c r="Y289" s="1">
        <v>9662.92</v>
      </c>
      <c r="Z289" s="1">
        <v>9352.77</v>
      </c>
      <c r="AA289" s="1">
        <v>9352.77</v>
      </c>
      <c r="AB289" s="1">
        <v>9355.76</v>
      </c>
      <c r="AC289" s="1">
        <v>9355.76</v>
      </c>
    </row>
    <row r="290" spans="1:29">
      <c r="A290" s="1">
        <f>VLOOKUP(B290,Legend!$C$32:$D$66,2,FALSE)</f>
        <v>51</v>
      </c>
      <c r="B290" s="1" t="s">
        <v>11</v>
      </c>
      <c r="C290" s="1" t="s">
        <v>135</v>
      </c>
      <c r="D290" s="1">
        <v>5780.06</v>
      </c>
      <c r="E290" s="1">
        <v>5780.06</v>
      </c>
      <c r="F290" s="1">
        <v>5780.06</v>
      </c>
      <c r="G290" s="1">
        <v>5780.06</v>
      </c>
      <c r="H290" s="1">
        <v>5780.06</v>
      </c>
      <c r="I290" s="1">
        <v>5780.06</v>
      </c>
      <c r="J290" s="1">
        <v>5780.06</v>
      </c>
      <c r="K290" s="1">
        <v>5780.06</v>
      </c>
      <c r="L290" s="1">
        <v>5780.06</v>
      </c>
      <c r="M290" s="1">
        <v>5780.06</v>
      </c>
      <c r="N290" s="1">
        <v>5780.06</v>
      </c>
      <c r="O290" s="1">
        <v>5780.06</v>
      </c>
      <c r="P290" s="1">
        <v>5780.06</v>
      </c>
      <c r="Q290" s="1">
        <v>5780.06</v>
      </c>
      <c r="R290" s="1">
        <v>5780.06</v>
      </c>
      <c r="S290" s="1">
        <v>5780.06</v>
      </c>
      <c r="T290" s="1">
        <v>5780.06</v>
      </c>
      <c r="U290" s="1">
        <v>5780.06</v>
      </c>
      <c r="V290" s="1">
        <v>5780.06</v>
      </c>
      <c r="W290" s="1">
        <v>5780.06</v>
      </c>
      <c r="X290" s="1">
        <v>5780.06</v>
      </c>
      <c r="Y290" s="1">
        <v>5780.06</v>
      </c>
      <c r="Z290" s="1">
        <v>5590.15</v>
      </c>
      <c r="AA290" s="1">
        <v>5590.15</v>
      </c>
      <c r="AB290" s="1">
        <v>5582.83</v>
      </c>
      <c r="AC290" s="1">
        <v>5582.83</v>
      </c>
    </row>
    <row r="291" spans="1:29">
      <c r="A291" s="1">
        <f>VLOOKUP(B291,Legend!$C$32:$D$66,2,FALSE)</f>
        <v>52</v>
      </c>
      <c r="B291" s="1" t="s">
        <v>31</v>
      </c>
      <c r="C291" s="1" t="s">
        <v>135</v>
      </c>
      <c r="D291" s="1">
        <v>18572.32</v>
      </c>
      <c r="E291" s="1">
        <v>18572.32</v>
      </c>
      <c r="F291" s="1">
        <v>18572.32</v>
      </c>
      <c r="G291" s="1">
        <v>18572.32</v>
      </c>
      <c r="H291" s="1">
        <v>18572.32</v>
      </c>
      <c r="I291" s="1">
        <v>18572.32</v>
      </c>
      <c r="J291" s="1">
        <v>18572.32</v>
      </c>
      <c r="K291" s="1">
        <v>18572.32</v>
      </c>
      <c r="L291" s="1">
        <v>18572.32</v>
      </c>
      <c r="M291" s="1">
        <v>18572.32</v>
      </c>
      <c r="N291" s="1">
        <v>18572.32</v>
      </c>
      <c r="O291" s="1">
        <v>18572.32</v>
      </c>
      <c r="P291" s="1">
        <v>18572.32</v>
      </c>
      <c r="Q291" s="1">
        <v>18572.32</v>
      </c>
      <c r="R291" s="1">
        <v>18572.32</v>
      </c>
      <c r="S291" s="1">
        <v>18572.32</v>
      </c>
      <c r="T291" s="1">
        <v>18572.32</v>
      </c>
      <c r="U291" s="1">
        <v>18572.32</v>
      </c>
      <c r="V291" s="1">
        <v>18572.32</v>
      </c>
      <c r="W291" s="1">
        <v>18572.32</v>
      </c>
      <c r="X291" s="1">
        <v>18572.32</v>
      </c>
      <c r="Y291" s="1">
        <v>18572.32</v>
      </c>
      <c r="Z291" s="1">
        <v>19675.89</v>
      </c>
      <c r="AA291" s="1">
        <v>19675.89</v>
      </c>
      <c r="AB291" s="1">
        <v>19631.990000000002</v>
      </c>
      <c r="AC291" s="1">
        <v>19631.990000000002</v>
      </c>
    </row>
    <row r="292" spans="1:29">
      <c r="A292" s="1">
        <f>VLOOKUP(B292,Legend!$C$32:$D$66,2,FALSE)</f>
        <v>53</v>
      </c>
      <c r="B292" s="1" t="s">
        <v>32</v>
      </c>
      <c r="C292" s="1" t="s">
        <v>135</v>
      </c>
      <c r="D292" s="1">
        <v>48718.1</v>
      </c>
      <c r="E292" s="1">
        <v>48718.1</v>
      </c>
      <c r="F292" s="1">
        <v>48718.1</v>
      </c>
      <c r="G292" s="1">
        <v>48718.1</v>
      </c>
      <c r="H292" s="1">
        <v>48718.1</v>
      </c>
      <c r="I292" s="1">
        <v>48718.1</v>
      </c>
      <c r="J292" s="1">
        <v>48718.1</v>
      </c>
      <c r="K292" s="1">
        <v>48718.1</v>
      </c>
      <c r="L292" s="1">
        <v>48718.1</v>
      </c>
      <c r="M292" s="1">
        <v>48718.1</v>
      </c>
      <c r="N292" s="1">
        <v>48718.1</v>
      </c>
      <c r="O292" s="1">
        <v>48718.1</v>
      </c>
      <c r="P292" s="1">
        <v>48718.1</v>
      </c>
      <c r="Q292" s="1">
        <v>48718.1</v>
      </c>
      <c r="R292" s="1">
        <v>48718.1</v>
      </c>
      <c r="S292" s="1">
        <v>48718.1</v>
      </c>
      <c r="T292" s="1">
        <v>48718.1</v>
      </c>
      <c r="U292" s="1">
        <v>48718.1</v>
      </c>
      <c r="V292" s="1">
        <v>48718.1</v>
      </c>
      <c r="W292" s="1">
        <v>48718.1</v>
      </c>
      <c r="X292" s="1">
        <v>48718.1</v>
      </c>
      <c r="Y292" s="1">
        <v>48718.1</v>
      </c>
      <c r="Z292" s="1">
        <v>46446.64</v>
      </c>
      <c r="AA292" s="1">
        <v>46446.64</v>
      </c>
      <c r="AB292" s="1">
        <v>46378.11</v>
      </c>
      <c r="AC292" s="1">
        <v>46378.11</v>
      </c>
    </row>
    <row r="293" spans="1:29">
      <c r="A293" s="1">
        <f>VLOOKUP(B293,Legend!$C$32:$D$66,2,FALSE)</f>
        <v>61</v>
      </c>
      <c r="B293" s="1" t="s">
        <v>24</v>
      </c>
      <c r="C293" s="1" t="s">
        <v>135</v>
      </c>
      <c r="D293" s="1">
        <v>147307</v>
      </c>
      <c r="E293" s="1">
        <v>147307</v>
      </c>
      <c r="F293" s="1">
        <v>147307</v>
      </c>
      <c r="G293" s="1">
        <v>147307</v>
      </c>
      <c r="H293" s="1">
        <v>147307</v>
      </c>
      <c r="I293" s="1">
        <v>147307</v>
      </c>
      <c r="J293" s="1">
        <v>147307</v>
      </c>
      <c r="K293" s="1">
        <v>147307</v>
      </c>
      <c r="L293" s="1">
        <v>147307</v>
      </c>
      <c r="M293" s="1">
        <v>147307</v>
      </c>
      <c r="N293" s="1">
        <v>147307</v>
      </c>
      <c r="O293" s="1">
        <v>147307</v>
      </c>
      <c r="P293" s="1">
        <v>147307</v>
      </c>
      <c r="Q293" s="1">
        <v>147307</v>
      </c>
      <c r="R293" s="1">
        <v>147307</v>
      </c>
      <c r="S293" s="1">
        <v>147307</v>
      </c>
      <c r="T293" s="1">
        <v>147307</v>
      </c>
      <c r="U293" s="1">
        <v>147307</v>
      </c>
      <c r="V293" s="1">
        <v>147307</v>
      </c>
      <c r="W293" s="1">
        <v>147307</v>
      </c>
      <c r="X293" s="1">
        <v>147307</v>
      </c>
      <c r="Y293" s="1">
        <v>147307</v>
      </c>
      <c r="Z293" s="1">
        <v>147037.04</v>
      </c>
      <c r="AA293" s="1">
        <v>147037.04</v>
      </c>
      <c r="AB293" s="1">
        <v>147018.06</v>
      </c>
      <c r="AC293" s="1">
        <v>147018.06</v>
      </c>
    </row>
    <row r="294" spans="1:29">
      <c r="A294" s="1">
        <f>VLOOKUP(B294,Legend!$C$32:$D$66,2,FALSE)</f>
        <v>62</v>
      </c>
      <c r="B294" s="1" t="s">
        <v>26</v>
      </c>
      <c r="C294" s="1" t="s">
        <v>135</v>
      </c>
      <c r="D294" s="1">
        <v>153564.5</v>
      </c>
      <c r="E294" s="1">
        <v>153564.5</v>
      </c>
      <c r="F294" s="1">
        <v>153564.5</v>
      </c>
      <c r="G294" s="1">
        <v>153564.5</v>
      </c>
      <c r="H294" s="1">
        <v>153564.5</v>
      </c>
      <c r="I294" s="1">
        <v>153564.5</v>
      </c>
      <c r="J294" s="1">
        <v>153564.5</v>
      </c>
      <c r="K294" s="1">
        <v>153564.5</v>
      </c>
      <c r="L294" s="1">
        <v>153564.5</v>
      </c>
      <c r="M294" s="1">
        <v>153564.5</v>
      </c>
      <c r="N294" s="1">
        <v>153564.5</v>
      </c>
      <c r="O294" s="1">
        <v>153564.5</v>
      </c>
      <c r="P294" s="1">
        <v>153564.5</v>
      </c>
      <c r="Q294" s="1">
        <v>153564.5</v>
      </c>
      <c r="R294" s="1">
        <v>153564.5</v>
      </c>
      <c r="S294" s="1">
        <v>153564.5</v>
      </c>
      <c r="T294" s="1">
        <v>153564.5</v>
      </c>
      <c r="U294" s="1">
        <v>153564.5</v>
      </c>
      <c r="V294" s="1">
        <v>153564.5</v>
      </c>
      <c r="W294" s="1">
        <v>153564.5</v>
      </c>
      <c r="X294" s="1">
        <v>153564.5</v>
      </c>
      <c r="Y294" s="1">
        <v>153564.5</v>
      </c>
      <c r="Z294" s="1">
        <v>153443.91</v>
      </c>
      <c r="AA294" s="1">
        <v>153443.91</v>
      </c>
      <c r="AB294" s="1">
        <v>153430.35999999999</v>
      </c>
      <c r="AC294" s="1">
        <v>153430.35999999999</v>
      </c>
    </row>
    <row r="295" spans="1:29">
      <c r="A295" s="1">
        <f>VLOOKUP(B295,Legend!$C$32:$D$66,2,FALSE)</f>
        <v>63</v>
      </c>
      <c r="B295" s="1" t="s">
        <v>25</v>
      </c>
      <c r="C295" s="1" t="s">
        <v>135</v>
      </c>
      <c r="D295" s="1">
        <v>38744.230000000003</v>
      </c>
      <c r="E295" s="1">
        <v>38744.230000000003</v>
      </c>
      <c r="F295" s="1">
        <v>38744.230000000003</v>
      </c>
      <c r="G295" s="1">
        <v>38744.230000000003</v>
      </c>
      <c r="H295" s="1">
        <v>38744.230000000003</v>
      </c>
      <c r="I295" s="1">
        <v>38744.230000000003</v>
      </c>
      <c r="J295" s="1">
        <v>38744.230000000003</v>
      </c>
      <c r="K295" s="1">
        <v>38744.230000000003</v>
      </c>
      <c r="L295" s="1">
        <v>38744.230000000003</v>
      </c>
      <c r="M295" s="1">
        <v>38744.230000000003</v>
      </c>
      <c r="N295" s="1">
        <v>38744.230000000003</v>
      </c>
      <c r="O295" s="1">
        <v>38744.230000000003</v>
      </c>
      <c r="P295" s="1">
        <v>38744.230000000003</v>
      </c>
      <c r="Q295" s="1">
        <v>38744.230000000003</v>
      </c>
      <c r="R295" s="1">
        <v>38744.230000000003</v>
      </c>
      <c r="S295" s="1">
        <v>38744.230000000003</v>
      </c>
      <c r="T295" s="1">
        <v>38744.230000000003</v>
      </c>
      <c r="U295" s="1">
        <v>38744.230000000003</v>
      </c>
      <c r="V295" s="1">
        <v>38744.230000000003</v>
      </c>
      <c r="W295" s="1">
        <v>38744.230000000003</v>
      </c>
      <c r="X295" s="1">
        <v>38744.230000000003</v>
      </c>
      <c r="Y295" s="1">
        <v>38744.230000000003</v>
      </c>
      <c r="Z295" s="1">
        <v>37135.050000000003</v>
      </c>
      <c r="AA295" s="1">
        <v>37135.050000000003</v>
      </c>
      <c r="AB295" s="1">
        <v>37125.43</v>
      </c>
      <c r="AC295" s="1">
        <v>37125.43</v>
      </c>
    </row>
    <row r="296" spans="1:29">
      <c r="A296" s="1">
        <f>VLOOKUP(B296,Legend!$C$32:$D$66,2,FALSE)</f>
        <v>64</v>
      </c>
      <c r="B296" s="1" t="s">
        <v>27</v>
      </c>
      <c r="C296" s="1" t="s">
        <v>135</v>
      </c>
      <c r="D296" s="1">
        <v>204534.34</v>
      </c>
      <c r="E296" s="1">
        <v>204534.34</v>
      </c>
      <c r="F296" s="1">
        <v>204534.34</v>
      </c>
      <c r="G296" s="1">
        <v>204534.34</v>
      </c>
      <c r="H296" s="1">
        <v>204534.34</v>
      </c>
      <c r="I296" s="1">
        <v>204534.34</v>
      </c>
      <c r="J296" s="1">
        <v>204534.34</v>
      </c>
      <c r="K296" s="1">
        <v>204534.34</v>
      </c>
      <c r="L296" s="1">
        <v>204534.34</v>
      </c>
      <c r="M296" s="1">
        <v>204534.34</v>
      </c>
      <c r="N296" s="1">
        <v>129066.64</v>
      </c>
      <c r="O296" s="1">
        <v>129066.64</v>
      </c>
      <c r="P296" s="1">
        <v>129066.64</v>
      </c>
      <c r="Q296" s="1">
        <v>129066.64</v>
      </c>
      <c r="R296" s="1">
        <v>129066.64</v>
      </c>
      <c r="S296" s="1">
        <v>129066.64</v>
      </c>
      <c r="T296" s="1">
        <v>129066.64</v>
      </c>
      <c r="U296" s="1">
        <v>129066.64</v>
      </c>
      <c r="V296" s="1">
        <v>129066.64</v>
      </c>
      <c r="W296" s="1">
        <v>129066.64</v>
      </c>
      <c r="X296" s="1">
        <v>129066.64</v>
      </c>
      <c r="Y296" s="1">
        <v>129066.64</v>
      </c>
      <c r="Z296" s="1">
        <v>126981.28</v>
      </c>
      <c r="AA296" s="1">
        <v>126981.28</v>
      </c>
      <c r="AB296" s="1">
        <v>126951.76</v>
      </c>
      <c r="AC296" s="1">
        <v>126951.76</v>
      </c>
    </row>
    <row r="297" spans="1:29">
      <c r="A297" s="1">
        <f>VLOOKUP(B297,Legend!$C$32:$D$66,2,FALSE)</f>
        <v>65</v>
      </c>
      <c r="B297" s="1" t="s">
        <v>46</v>
      </c>
      <c r="C297" s="1" t="s">
        <v>135</v>
      </c>
      <c r="N297" s="1">
        <v>75467.7</v>
      </c>
      <c r="O297" s="1">
        <v>75467.7</v>
      </c>
      <c r="P297" s="1">
        <v>75467.7</v>
      </c>
      <c r="Q297" s="1">
        <v>75467.7</v>
      </c>
      <c r="R297" s="1">
        <v>75467.7</v>
      </c>
      <c r="S297" s="1">
        <v>75467.7</v>
      </c>
      <c r="T297" s="1">
        <v>75467.7</v>
      </c>
      <c r="U297" s="1">
        <v>75467.7</v>
      </c>
      <c r="V297" s="1">
        <v>75467.7</v>
      </c>
      <c r="W297" s="1">
        <v>75467.7</v>
      </c>
      <c r="X297" s="1">
        <v>75467.7</v>
      </c>
      <c r="Y297" s="1">
        <v>75467.7</v>
      </c>
      <c r="Z297" s="1">
        <v>70101.179999999993</v>
      </c>
      <c r="AA297" s="1">
        <v>70101.179999999993</v>
      </c>
      <c r="AB297" s="1">
        <v>69900.89</v>
      </c>
      <c r="AC297" s="1">
        <v>69900.89</v>
      </c>
    </row>
    <row r="298" spans="1:29">
      <c r="A298" s="1">
        <f>VLOOKUP(B298,Legend!$C$32:$D$66,2,FALSE)</f>
        <v>71</v>
      </c>
      <c r="B298" s="1" t="s">
        <v>38</v>
      </c>
      <c r="C298" s="1" t="s">
        <v>135</v>
      </c>
      <c r="D298" s="1">
        <v>13851.64</v>
      </c>
      <c r="E298" s="1">
        <v>13851.64</v>
      </c>
      <c r="F298" s="1">
        <v>13851.64</v>
      </c>
      <c r="G298" s="1">
        <v>13851.64</v>
      </c>
      <c r="H298" s="1">
        <v>13851.64</v>
      </c>
      <c r="I298" s="1">
        <v>13851.64</v>
      </c>
      <c r="J298" s="1">
        <v>13851.64</v>
      </c>
      <c r="K298" s="1">
        <v>13851.64</v>
      </c>
      <c r="L298" s="1">
        <v>13851.64</v>
      </c>
      <c r="M298" s="1">
        <v>13851.64</v>
      </c>
      <c r="N298" s="1">
        <v>13851.64</v>
      </c>
      <c r="O298" s="1">
        <v>13851.64</v>
      </c>
      <c r="P298" s="1">
        <v>13851.64</v>
      </c>
      <c r="Q298" s="1">
        <v>13851.64</v>
      </c>
      <c r="R298" s="1">
        <v>13851.64</v>
      </c>
      <c r="S298" s="1">
        <v>13851.64</v>
      </c>
      <c r="T298" s="1">
        <v>13851.64</v>
      </c>
      <c r="U298" s="1">
        <v>13851.64</v>
      </c>
      <c r="V298" s="1">
        <v>13851.64</v>
      </c>
      <c r="W298" s="1">
        <v>13892.47</v>
      </c>
      <c r="X298" s="1">
        <v>13892.47</v>
      </c>
      <c r="Y298" s="1">
        <v>13892.47</v>
      </c>
      <c r="Z298" s="1">
        <v>14500.28</v>
      </c>
      <c r="AA298" s="1">
        <v>14500.28</v>
      </c>
      <c r="AB298" s="1">
        <v>14488.43</v>
      </c>
      <c r="AC298" s="1">
        <v>14488.43</v>
      </c>
    </row>
    <row r="299" spans="1:29">
      <c r="A299" s="1">
        <f>VLOOKUP(B299,Legend!$C$32:$D$66,2,FALSE)</f>
        <v>72</v>
      </c>
      <c r="B299" s="1" t="s">
        <v>36</v>
      </c>
      <c r="C299" s="1" t="s">
        <v>135</v>
      </c>
      <c r="D299" s="1">
        <v>61841.29</v>
      </c>
      <c r="E299" s="1">
        <v>61841.29</v>
      </c>
      <c r="F299" s="1">
        <v>61841.29</v>
      </c>
      <c r="G299" s="1">
        <v>61841.29</v>
      </c>
      <c r="H299" s="1">
        <v>61841.29</v>
      </c>
      <c r="I299" s="1">
        <v>61841.29</v>
      </c>
      <c r="J299" s="1">
        <v>61841.29</v>
      </c>
      <c r="K299" s="1">
        <v>61841.29</v>
      </c>
      <c r="L299" s="1">
        <v>61841.29</v>
      </c>
      <c r="M299" s="1">
        <v>61841.29</v>
      </c>
      <c r="N299" s="1">
        <v>61841.29</v>
      </c>
      <c r="O299" s="1">
        <v>61841.29</v>
      </c>
      <c r="P299" s="1">
        <v>61841.29</v>
      </c>
      <c r="Q299" s="1">
        <v>61841.29</v>
      </c>
      <c r="R299" s="1">
        <v>61841.29</v>
      </c>
      <c r="S299" s="1">
        <v>61841.29</v>
      </c>
      <c r="T299" s="1">
        <v>61841.29</v>
      </c>
      <c r="U299" s="1">
        <v>61841.29</v>
      </c>
      <c r="V299" s="1">
        <v>61841.29</v>
      </c>
      <c r="W299" s="1">
        <v>61841.29</v>
      </c>
      <c r="X299" s="1">
        <v>61841.29</v>
      </c>
      <c r="Y299" s="1">
        <v>61841.29</v>
      </c>
      <c r="Z299" s="1">
        <v>61605.72</v>
      </c>
      <c r="AA299" s="1">
        <v>61605.72</v>
      </c>
      <c r="AB299" s="1">
        <v>61496.98</v>
      </c>
      <c r="AC299" s="1">
        <v>61496.98</v>
      </c>
    </row>
    <row r="300" spans="1:29">
      <c r="A300" s="1">
        <f>VLOOKUP(B300,Legend!$C$32:$D$66,2,FALSE)</f>
        <v>73</v>
      </c>
      <c r="B300" s="1" t="s">
        <v>35</v>
      </c>
      <c r="C300" s="1" t="s">
        <v>135</v>
      </c>
      <c r="D300" s="1">
        <v>63504.66</v>
      </c>
      <c r="E300" s="1">
        <v>63504.66</v>
      </c>
      <c r="F300" s="1">
        <v>63504.66</v>
      </c>
      <c r="G300" s="1">
        <v>63504.66</v>
      </c>
      <c r="H300" s="1">
        <v>46717.48</v>
      </c>
      <c r="I300" s="1">
        <v>46717.48</v>
      </c>
      <c r="J300" s="1">
        <v>46717.48</v>
      </c>
      <c r="K300" s="1">
        <v>46717.48</v>
      </c>
      <c r="L300" s="1">
        <v>46717.48</v>
      </c>
      <c r="M300" s="1">
        <v>46717.48</v>
      </c>
      <c r="N300" s="1">
        <v>46717.48</v>
      </c>
      <c r="O300" s="1">
        <v>46717.48</v>
      </c>
      <c r="P300" s="1">
        <v>46717.48</v>
      </c>
      <c r="Q300" s="1">
        <v>46717.48</v>
      </c>
      <c r="R300" s="1">
        <v>46717.48</v>
      </c>
      <c r="S300" s="1">
        <v>46717.48</v>
      </c>
      <c r="T300" s="1">
        <v>46717.48</v>
      </c>
      <c r="U300" s="1">
        <v>46717.48</v>
      </c>
      <c r="V300" s="1">
        <v>46717.48</v>
      </c>
      <c r="W300" s="1">
        <v>46717.48</v>
      </c>
      <c r="X300" s="1">
        <v>46717.48</v>
      </c>
      <c r="Y300" s="1">
        <v>46717.48</v>
      </c>
      <c r="Z300" s="1">
        <v>45330.55</v>
      </c>
      <c r="AA300" s="1">
        <v>45330.55</v>
      </c>
      <c r="AB300" s="1">
        <v>45323.98</v>
      </c>
      <c r="AC300" s="1">
        <v>45323.98</v>
      </c>
    </row>
    <row r="301" spans="1:29">
      <c r="A301" s="1">
        <f>VLOOKUP(B301,Legend!$C$32:$D$66,2,FALSE)</f>
        <v>74</v>
      </c>
      <c r="B301" s="1" t="s">
        <v>37</v>
      </c>
      <c r="C301" s="1" t="s">
        <v>135</v>
      </c>
      <c r="D301" s="1">
        <v>38067.699999999997</v>
      </c>
      <c r="E301" s="1">
        <v>38067.699999999997</v>
      </c>
      <c r="F301" s="1">
        <v>38067.699999999997</v>
      </c>
      <c r="G301" s="1">
        <v>38067.699999999997</v>
      </c>
      <c r="H301" s="1">
        <v>38067.699999999997</v>
      </c>
      <c r="I301" s="1">
        <v>38067.699999999997</v>
      </c>
      <c r="J301" s="1">
        <v>38067.699999999997</v>
      </c>
      <c r="K301" s="1">
        <v>38067.699999999997</v>
      </c>
      <c r="L301" s="1">
        <v>38067.699999999997</v>
      </c>
      <c r="M301" s="1">
        <v>38067.699999999997</v>
      </c>
      <c r="N301" s="1">
        <v>38067.699999999997</v>
      </c>
      <c r="O301" s="1">
        <v>38067.699999999997</v>
      </c>
      <c r="P301" s="1">
        <v>38067.699999999997</v>
      </c>
      <c r="Q301" s="1">
        <v>38067.699999999997</v>
      </c>
      <c r="R301" s="1">
        <v>38067.699999999997</v>
      </c>
      <c r="S301" s="1">
        <v>38067.699999999997</v>
      </c>
      <c r="T301" s="1">
        <v>38067.699999999997</v>
      </c>
      <c r="U301" s="1">
        <v>38067.699999999997</v>
      </c>
      <c r="V301" s="1">
        <v>38067.699999999997</v>
      </c>
      <c r="W301" s="1">
        <v>38067.699999999997</v>
      </c>
      <c r="X301" s="1">
        <v>38067.699999999997</v>
      </c>
      <c r="Y301" s="1">
        <v>38067.699999999997</v>
      </c>
      <c r="Z301" s="1">
        <v>36159.71</v>
      </c>
      <c r="AA301" s="1">
        <v>36159.71</v>
      </c>
      <c r="AB301" s="1">
        <v>36139.300000000003</v>
      </c>
      <c r="AC301" s="1">
        <v>36139.300000000003</v>
      </c>
    </row>
    <row r="302" spans="1:29">
      <c r="A302" s="1">
        <f>VLOOKUP(B302,Legend!$C$32:$D$66,2,FALSE)</f>
        <v>75</v>
      </c>
      <c r="B302" s="1" t="s">
        <v>12</v>
      </c>
      <c r="C302" s="1" t="s">
        <v>135</v>
      </c>
      <c r="D302" s="1">
        <v>11257.07</v>
      </c>
      <c r="E302" s="1">
        <v>11257.07</v>
      </c>
      <c r="F302" s="1">
        <v>11257.07</v>
      </c>
      <c r="G302" s="1">
        <v>11257.07</v>
      </c>
      <c r="H302" s="1">
        <v>11257.07</v>
      </c>
      <c r="I302" s="1">
        <v>11257.07</v>
      </c>
      <c r="J302" s="1">
        <v>11257.07</v>
      </c>
      <c r="K302" s="1">
        <v>11257.07</v>
      </c>
      <c r="L302" s="1">
        <v>11257.07</v>
      </c>
      <c r="M302" s="1">
        <v>11257.07</v>
      </c>
      <c r="N302" s="1">
        <v>11257.07</v>
      </c>
      <c r="O302" s="1">
        <v>11257.07</v>
      </c>
      <c r="P302" s="1">
        <v>11257.07</v>
      </c>
      <c r="Q302" s="1">
        <v>11257.07</v>
      </c>
      <c r="R302" s="1">
        <v>11257.07</v>
      </c>
      <c r="S302" s="1">
        <v>11257.07</v>
      </c>
      <c r="T302" s="1">
        <v>11257.07</v>
      </c>
      <c r="U302" s="1">
        <v>11257.07</v>
      </c>
      <c r="V302" s="1">
        <v>11257.07</v>
      </c>
      <c r="W302" s="1">
        <v>11257.07</v>
      </c>
      <c r="X302" s="1">
        <v>11257.07</v>
      </c>
      <c r="Y302" s="1">
        <v>11257.07</v>
      </c>
      <c r="Z302" s="1">
        <v>12025.15</v>
      </c>
      <c r="AA302" s="1">
        <v>12025.15</v>
      </c>
      <c r="AB302" s="1">
        <v>12024.98</v>
      </c>
      <c r="AC302" s="1">
        <v>12024.98</v>
      </c>
    </row>
    <row r="303" spans="1:29">
      <c r="A303" s="1">
        <f>VLOOKUP(B303,Legend!$C$32:$D$66,2,FALSE)</f>
        <v>76</v>
      </c>
      <c r="B303" s="1" t="s">
        <v>34</v>
      </c>
      <c r="C303" s="1" t="s">
        <v>135</v>
      </c>
      <c r="H303" s="1">
        <v>16787.18</v>
      </c>
      <c r="I303" s="1">
        <v>16787.18</v>
      </c>
      <c r="J303" s="1">
        <v>16787.18</v>
      </c>
      <c r="K303" s="1">
        <v>16787.18</v>
      </c>
      <c r="L303" s="1">
        <v>16787.18</v>
      </c>
      <c r="M303" s="1">
        <v>16787.18</v>
      </c>
      <c r="N303" s="1">
        <v>16787.18</v>
      </c>
      <c r="O303" s="1">
        <v>16787.18</v>
      </c>
      <c r="P303" s="1">
        <v>16787.18</v>
      </c>
      <c r="Q303" s="1">
        <v>16787.18</v>
      </c>
      <c r="R303" s="1">
        <v>16787.18</v>
      </c>
      <c r="S303" s="1">
        <v>16787.18</v>
      </c>
      <c r="T303" s="1">
        <v>16787.18</v>
      </c>
      <c r="U303" s="1">
        <v>16787.18</v>
      </c>
      <c r="V303" s="1">
        <v>16787.18</v>
      </c>
      <c r="W303" s="1">
        <v>16787.18</v>
      </c>
      <c r="X303" s="1">
        <v>16787.18</v>
      </c>
      <c r="Y303" s="1">
        <v>16787.18</v>
      </c>
      <c r="Z303" s="1">
        <v>16594.75</v>
      </c>
      <c r="AA303" s="1">
        <v>16594.75</v>
      </c>
      <c r="AB303" s="1">
        <v>16590.669999999998</v>
      </c>
      <c r="AC303" s="1">
        <v>16590.669999999998</v>
      </c>
    </row>
    <row r="304" spans="1:29">
      <c r="A304" s="1">
        <f>VLOOKUP(B304,Legend!$C$32:$D$66,2,FALSE)</f>
        <v>81</v>
      </c>
      <c r="B304" s="1" t="s">
        <v>13</v>
      </c>
      <c r="C304" s="1" t="s">
        <v>135</v>
      </c>
      <c r="D304" s="1">
        <v>46914.03</v>
      </c>
      <c r="E304" s="1">
        <v>46914.03</v>
      </c>
      <c r="F304" s="1">
        <v>46914.03</v>
      </c>
      <c r="G304" s="1">
        <v>46914.03</v>
      </c>
      <c r="H304" s="1">
        <v>46914.03</v>
      </c>
      <c r="I304" s="1">
        <v>46914.03</v>
      </c>
      <c r="J304" s="1">
        <v>46914.03</v>
      </c>
      <c r="K304" s="1">
        <v>46914.03</v>
      </c>
      <c r="L304" s="1">
        <v>46914.03</v>
      </c>
      <c r="M304" s="1">
        <v>46914.03</v>
      </c>
      <c r="N304" s="1">
        <v>46914.03</v>
      </c>
      <c r="O304" s="1">
        <v>46914.03</v>
      </c>
      <c r="P304" s="1">
        <v>46914.03</v>
      </c>
      <c r="Q304" s="1">
        <v>46914.03</v>
      </c>
      <c r="R304" s="1">
        <v>46914.03</v>
      </c>
      <c r="S304" s="1">
        <v>46914.03</v>
      </c>
      <c r="T304" s="1">
        <v>46914.03</v>
      </c>
      <c r="U304" s="1">
        <v>46914.03</v>
      </c>
      <c r="V304" s="1">
        <v>46914.03</v>
      </c>
      <c r="W304" s="1">
        <v>46914.03</v>
      </c>
      <c r="X304" s="1">
        <v>46914.03</v>
      </c>
      <c r="Y304" s="1">
        <v>46914.03</v>
      </c>
      <c r="Z304" s="1">
        <v>46158.27</v>
      </c>
      <c r="AA304" s="1">
        <v>46158.27</v>
      </c>
      <c r="AB304" s="1">
        <v>46133.83</v>
      </c>
      <c r="AC304" s="1">
        <v>46133.83</v>
      </c>
    </row>
    <row r="305" spans="1:29">
      <c r="A305" s="1">
        <f>VLOOKUP(B305,Legend!$C$32:$D$66,2,FALSE)</f>
        <v>82</v>
      </c>
      <c r="B305" s="1" t="s">
        <v>30</v>
      </c>
      <c r="C305" s="1" t="s">
        <v>135</v>
      </c>
      <c r="D305" s="1">
        <v>31982.5</v>
      </c>
      <c r="E305" s="1">
        <v>31982.5</v>
      </c>
      <c r="F305" s="1">
        <v>31982.5</v>
      </c>
      <c r="G305" s="1">
        <v>31982.5</v>
      </c>
      <c r="H305" s="1">
        <v>31982.5</v>
      </c>
      <c r="I305" s="1">
        <v>31982.5</v>
      </c>
      <c r="J305" s="1">
        <v>31982.5</v>
      </c>
      <c r="K305" s="1">
        <v>31982.5</v>
      </c>
      <c r="L305" s="1">
        <v>31982.5</v>
      </c>
      <c r="M305" s="1">
        <v>31982.5</v>
      </c>
      <c r="N305" s="1">
        <v>31982.5</v>
      </c>
      <c r="O305" s="1">
        <v>31982.5</v>
      </c>
      <c r="P305" s="1">
        <v>31982.5</v>
      </c>
      <c r="Q305" s="1">
        <v>31982.5</v>
      </c>
      <c r="R305" s="1">
        <v>31982.5</v>
      </c>
      <c r="S305" s="1">
        <v>31982.5</v>
      </c>
      <c r="T305" s="1">
        <v>31982.5</v>
      </c>
      <c r="U305" s="1">
        <v>31982.5</v>
      </c>
      <c r="V305" s="1">
        <v>31982.5</v>
      </c>
      <c r="W305" s="1">
        <v>31982.5</v>
      </c>
      <c r="X305" s="1">
        <v>31982.5</v>
      </c>
      <c r="Y305" s="1">
        <v>31982.5</v>
      </c>
      <c r="Z305" s="1">
        <v>32998.699999999997</v>
      </c>
      <c r="AA305" s="1">
        <v>32998.699999999997</v>
      </c>
      <c r="AB305" s="1">
        <v>31465.98</v>
      </c>
      <c r="AC305" s="1">
        <v>31465.98</v>
      </c>
    </row>
    <row r="306" spans="1:29">
      <c r="A306" s="1">
        <f>VLOOKUP(B306,Legend!$C$32:$D$66,2,FALSE)</f>
        <v>91</v>
      </c>
      <c r="B306" s="1" t="s">
        <v>33</v>
      </c>
      <c r="C306" s="1" t="s">
        <v>135</v>
      </c>
      <c r="F306" s="1">
        <v>102955.15</v>
      </c>
      <c r="G306" s="1">
        <v>102955.15</v>
      </c>
      <c r="H306" s="1">
        <v>102955.15</v>
      </c>
      <c r="I306" s="1">
        <v>102955.15</v>
      </c>
      <c r="J306" s="1">
        <v>102955.15</v>
      </c>
      <c r="K306" s="1">
        <v>102955.15</v>
      </c>
      <c r="L306" s="1">
        <v>102955.15</v>
      </c>
      <c r="M306" s="1">
        <v>102955.15</v>
      </c>
      <c r="N306" s="1">
        <v>102955.15</v>
      </c>
      <c r="O306" s="1">
        <v>102955.15</v>
      </c>
      <c r="P306" s="1">
        <v>102955.15</v>
      </c>
      <c r="Q306" s="1">
        <v>102955.15</v>
      </c>
      <c r="R306" s="1">
        <v>102955.15</v>
      </c>
      <c r="S306" s="1">
        <v>102955.15</v>
      </c>
      <c r="T306" s="1">
        <v>102955.15</v>
      </c>
      <c r="U306" s="1">
        <v>102955.15</v>
      </c>
      <c r="V306" s="1">
        <v>102955.15</v>
      </c>
      <c r="W306" s="1">
        <v>102955.15</v>
      </c>
      <c r="X306" s="1">
        <v>102955.15</v>
      </c>
      <c r="Y306" s="1">
        <v>102955.15</v>
      </c>
      <c r="Z306" s="1">
        <v>102955.15</v>
      </c>
      <c r="AA306" s="1">
        <v>102955.15</v>
      </c>
      <c r="AB306" s="1">
        <v>102955.15</v>
      </c>
      <c r="AC306" s="1">
        <v>102955.15</v>
      </c>
    </row>
    <row r="307" spans="1:29">
      <c r="A307" s="1">
        <f>VLOOKUP(B307,Legend!$C$32:$D$66,2,FALSE)</f>
        <v>94</v>
      </c>
      <c r="B307" s="1" t="s">
        <v>14</v>
      </c>
      <c r="C307" s="1" t="s">
        <v>135</v>
      </c>
      <c r="D307" s="1">
        <v>421991.19999999995</v>
      </c>
      <c r="E307" s="1">
        <v>421991.19999999995</v>
      </c>
      <c r="F307" s="1">
        <v>319036.05</v>
      </c>
      <c r="G307" s="1">
        <v>319036.05</v>
      </c>
      <c r="H307" s="1">
        <v>319036.05</v>
      </c>
      <c r="I307" s="1">
        <v>319036.05</v>
      </c>
      <c r="J307" s="1">
        <v>319036.05</v>
      </c>
      <c r="K307" s="1">
        <v>319036.05</v>
      </c>
      <c r="L307" s="1">
        <v>319036.05</v>
      </c>
      <c r="M307" s="1">
        <v>319036.05</v>
      </c>
      <c r="N307" s="1">
        <v>319036.05</v>
      </c>
      <c r="O307" s="1">
        <v>319036.05</v>
      </c>
      <c r="P307" s="1">
        <v>319036.05</v>
      </c>
      <c r="Q307" s="1">
        <v>319036.05</v>
      </c>
      <c r="R307" s="1">
        <v>319036.05</v>
      </c>
      <c r="S307" s="1">
        <v>319036.05</v>
      </c>
      <c r="T307" s="1">
        <v>319036.05</v>
      </c>
      <c r="U307" s="1">
        <v>319036.05</v>
      </c>
      <c r="V307" s="1">
        <v>319036.05</v>
      </c>
      <c r="W307" s="1">
        <v>319036.05</v>
      </c>
      <c r="X307" s="1">
        <v>319036.05</v>
      </c>
      <c r="Y307" s="1">
        <v>319036.05</v>
      </c>
      <c r="Z307" s="1">
        <v>319036.05</v>
      </c>
      <c r="AA307" s="1">
        <v>319036.05</v>
      </c>
      <c r="AB307" s="1">
        <v>319036.05</v>
      </c>
      <c r="AC307" s="1">
        <v>319036.05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5CDA-0840-E046-A17E-811B5649BE3F}">
  <dimension ref="A1:P137"/>
  <sheetViews>
    <sheetView topLeftCell="A19" zoomScale="60" workbookViewId="0">
      <selection activeCell="B104" sqref="B104:B137"/>
    </sheetView>
  </sheetViews>
  <sheetFormatPr baseColWidth="10" defaultRowHeight="16"/>
  <cols>
    <col min="1" max="16" width="15.7109375" customWidth="1"/>
  </cols>
  <sheetData>
    <row r="1" spans="1:16">
      <c r="A1" s="2" t="s">
        <v>16</v>
      </c>
      <c r="B1" s="2" t="s">
        <v>82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</row>
    <row r="2" spans="1:16">
      <c r="A2" t="s">
        <v>3</v>
      </c>
      <c r="B2" t="s">
        <v>98</v>
      </c>
      <c r="C2">
        <v>76927900</v>
      </c>
      <c r="D2">
        <v>73661657</v>
      </c>
      <c r="E2">
        <v>84860808</v>
      </c>
      <c r="F2">
        <v>94463588</v>
      </c>
      <c r="G2">
        <v>98324161</v>
      </c>
      <c r="H2">
        <v>107169006</v>
      </c>
      <c r="I2">
        <v>127277138</v>
      </c>
      <c r="J2">
        <v>132952788</v>
      </c>
      <c r="K2">
        <v>142309062</v>
      </c>
      <c r="L2">
        <v>141927835</v>
      </c>
      <c r="M2">
        <v>153993638</v>
      </c>
      <c r="N2">
        <v>158088777</v>
      </c>
      <c r="O2">
        <v>173424078</v>
      </c>
      <c r="P2">
        <v>85019450</v>
      </c>
    </row>
    <row r="3" spans="1:16">
      <c r="A3" t="s">
        <v>11</v>
      </c>
      <c r="B3" t="s">
        <v>98</v>
      </c>
      <c r="C3">
        <v>33392042</v>
      </c>
      <c r="D3">
        <v>38848782</v>
      </c>
      <c r="E3">
        <v>45342118</v>
      </c>
      <c r="F3">
        <v>49868057</v>
      </c>
      <c r="G3">
        <v>55366698</v>
      </c>
      <c r="H3">
        <v>64940206</v>
      </c>
      <c r="I3">
        <v>71584693</v>
      </c>
      <c r="J3">
        <v>80972447</v>
      </c>
      <c r="K3">
        <v>95345888</v>
      </c>
      <c r="L3">
        <v>110340124</v>
      </c>
      <c r="M3">
        <v>124787185</v>
      </c>
      <c r="N3">
        <v>140401198</v>
      </c>
      <c r="O3">
        <v>158653244</v>
      </c>
      <c r="P3">
        <v>82879460</v>
      </c>
    </row>
    <row r="4" spans="1:16">
      <c r="A4" t="s">
        <v>10</v>
      </c>
      <c r="B4" t="s">
        <v>98</v>
      </c>
      <c r="C4">
        <v>93053281</v>
      </c>
      <c r="D4">
        <v>106774418</v>
      </c>
      <c r="E4">
        <v>123289889</v>
      </c>
      <c r="F4">
        <v>136402054</v>
      </c>
      <c r="G4">
        <v>151188431</v>
      </c>
      <c r="H4">
        <v>173062572</v>
      </c>
      <c r="I4">
        <v>199167110</v>
      </c>
      <c r="J4">
        <v>220137615</v>
      </c>
      <c r="K4">
        <v>251336567</v>
      </c>
      <c r="L4">
        <v>283101307</v>
      </c>
      <c r="M4">
        <v>319123729</v>
      </c>
      <c r="N4">
        <v>383103940</v>
      </c>
      <c r="O4">
        <v>425656580</v>
      </c>
      <c r="P4">
        <v>241930320</v>
      </c>
    </row>
    <row r="5" spans="1:16">
      <c r="A5" t="s">
        <v>6</v>
      </c>
      <c r="B5" t="s">
        <v>98</v>
      </c>
      <c r="C5">
        <v>9737712</v>
      </c>
      <c r="D5">
        <v>10997303</v>
      </c>
      <c r="E5">
        <v>12524790</v>
      </c>
      <c r="F5">
        <v>14438085</v>
      </c>
      <c r="G5">
        <v>16109577</v>
      </c>
      <c r="H5">
        <v>20006638</v>
      </c>
      <c r="I5">
        <v>22520232</v>
      </c>
      <c r="J5">
        <v>25287103</v>
      </c>
      <c r="K5">
        <v>29143435</v>
      </c>
      <c r="L5">
        <v>31457669</v>
      </c>
      <c r="M5">
        <v>35464174</v>
      </c>
      <c r="N5">
        <v>40884468</v>
      </c>
      <c r="O5">
        <v>46261802</v>
      </c>
      <c r="P5">
        <v>24967840</v>
      </c>
    </row>
    <row r="6" spans="1:16">
      <c r="A6" t="s">
        <v>9</v>
      </c>
      <c r="B6" t="s">
        <v>98</v>
      </c>
      <c r="C6">
        <v>27040431</v>
      </c>
      <c r="D6">
        <v>30627237</v>
      </c>
      <c r="E6">
        <v>35059556</v>
      </c>
      <c r="F6">
        <v>39262183</v>
      </c>
      <c r="G6">
        <v>43965765</v>
      </c>
      <c r="H6">
        <v>50583928</v>
      </c>
      <c r="I6">
        <v>58599125</v>
      </c>
      <c r="J6">
        <v>65443030</v>
      </c>
      <c r="K6">
        <v>75312922</v>
      </c>
      <c r="L6">
        <v>81939970</v>
      </c>
      <c r="M6">
        <v>90262920</v>
      </c>
      <c r="N6">
        <v>101060360</v>
      </c>
      <c r="O6">
        <v>111459733</v>
      </c>
      <c r="P6">
        <v>61361580</v>
      </c>
    </row>
    <row r="7" spans="1:16">
      <c r="A7" t="s">
        <v>8</v>
      </c>
      <c r="B7" t="s">
        <v>98</v>
      </c>
      <c r="C7">
        <v>455893455</v>
      </c>
      <c r="D7">
        <v>526315985</v>
      </c>
      <c r="E7">
        <v>598534894</v>
      </c>
      <c r="F7">
        <v>668891340</v>
      </c>
      <c r="G7">
        <v>752089786</v>
      </c>
      <c r="H7">
        <v>867058392</v>
      </c>
      <c r="I7">
        <v>998836906</v>
      </c>
      <c r="J7">
        <v>1137022999</v>
      </c>
      <c r="K7">
        <v>1358898596</v>
      </c>
      <c r="L7">
        <v>1516371414</v>
      </c>
      <c r="M7">
        <v>1720819681</v>
      </c>
      <c r="N7">
        <v>1954534869</v>
      </c>
      <c r="O7">
        <v>2198069942</v>
      </c>
      <c r="P7">
        <v>1246043880</v>
      </c>
    </row>
    <row r="8" spans="1:16">
      <c r="A8" t="s">
        <v>12</v>
      </c>
      <c r="B8" t="s">
        <v>98</v>
      </c>
      <c r="C8">
        <v>2950048</v>
      </c>
      <c r="D8">
        <v>3628484</v>
      </c>
      <c r="E8">
        <v>4333744</v>
      </c>
      <c r="F8">
        <v>4974964</v>
      </c>
      <c r="G8">
        <v>5616090</v>
      </c>
      <c r="H8">
        <v>6699786</v>
      </c>
      <c r="I8">
        <v>7761824</v>
      </c>
      <c r="J8">
        <v>9081042</v>
      </c>
      <c r="K8">
        <v>11235068</v>
      </c>
      <c r="L8">
        <v>13504394</v>
      </c>
      <c r="M8">
        <v>15439083</v>
      </c>
      <c r="N8">
        <v>17554979</v>
      </c>
      <c r="O8">
        <v>19933660</v>
      </c>
      <c r="P8">
        <v>10851960</v>
      </c>
    </row>
    <row r="9" spans="1:16">
      <c r="A9" t="s">
        <v>5</v>
      </c>
      <c r="B9" t="s">
        <v>98</v>
      </c>
      <c r="C9">
        <v>19066013</v>
      </c>
      <c r="D9">
        <v>22883691</v>
      </c>
      <c r="E9">
        <v>27462722</v>
      </c>
      <c r="F9">
        <v>32070335</v>
      </c>
      <c r="G9">
        <v>37384606</v>
      </c>
      <c r="H9">
        <v>44782524</v>
      </c>
      <c r="I9">
        <v>51943454</v>
      </c>
      <c r="J9">
        <v>62637380</v>
      </c>
      <c r="K9">
        <v>78770902</v>
      </c>
      <c r="L9">
        <v>87447756</v>
      </c>
      <c r="M9">
        <v>104972203</v>
      </c>
      <c r="N9">
        <v>112145094</v>
      </c>
      <c r="O9">
        <v>128887105</v>
      </c>
      <c r="P9">
        <v>65781080</v>
      </c>
    </row>
    <row r="10" spans="1:16">
      <c r="A10" t="s">
        <v>21</v>
      </c>
      <c r="B10" t="s">
        <v>98</v>
      </c>
      <c r="C10">
        <v>383184616</v>
      </c>
      <c r="D10">
        <v>432406312</v>
      </c>
      <c r="E10">
        <v>484987430</v>
      </c>
      <c r="F10">
        <v>545148335</v>
      </c>
      <c r="G10">
        <v>611328267</v>
      </c>
      <c r="H10">
        <v>759340367</v>
      </c>
      <c r="I10">
        <v>912479126</v>
      </c>
      <c r="J10">
        <v>1024543911</v>
      </c>
      <c r="K10">
        <v>1206158051</v>
      </c>
      <c r="L10">
        <v>1320636434</v>
      </c>
      <c r="M10">
        <v>1479582025</v>
      </c>
      <c r="N10">
        <v>1616789512</v>
      </c>
      <c r="O10">
        <v>1783170551</v>
      </c>
      <c r="P10">
        <v>949518710</v>
      </c>
    </row>
    <row r="11" spans="1:16">
      <c r="A11" t="s">
        <v>22</v>
      </c>
      <c r="B11" t="s">
        <v>98</v>
      </c>
      <c r="C11">
        <v>221642824</v>
      </c>
      <c r="D11">
        <v>258621105</v>
      </c>
      <c r="E11">
        <v>297722756</v>
      </c>
      <c r="F11">
        <v>334652104</v>
      </c>
      <c r="G11">
        <v>373918059</v>
      </c>
      <c r="H11">
        <v>455833821</v>
      </c>
      <c r="I11">
        <v>538281577</v>
      </c>
      <c r="J11">
        <v>595907520</v>
      </c>
      <c r="K11">
        <v>698043649</v>
      </c>
      <c r="L11">
        <v>756174884</v>
      </c>
      <c r="M11">
        <v>842622258</v>
      </c>
      <c r="N11">
        <v>880683604</v>
      </c>
      <c r="O11">
        <v>980069682</v>
      </c>
      <c r="P11">
        <v>474109480</v>
      </c>
    </row>
    <row r="12" spans="1:16">
      <c r="A12" t="s">
        <v>23</v>
      </c>
      <c r="B12" t="s">
        <v>98</v>
      </c>
      <c r="C12">
        <v>396109803</v>
      </c>
      <c r="D12">
        <v>453373953</v>
      </c>
      <c r="E12">
        <v>513473583</v>
      </c>
      <c r="F12">
        <v>576991767</v>
      </c>
      <c r="G12">
        <v>653793451</v>
      </c>
      <c r="H12">
        <v>775113615</v>
      </c>
      <c r="I12">
        <v>901653910</v>
      </c>
      <c r="J12">
        <v>1024648174</v>
      </c>
      <c r="K12">
        <v>1216193713</v>
      </c>
      <c r="L12">
        <v>1350533088</v>
      </c>
      <c r="M12">
        <v>1535135402</v>
      </c>
      <c r="N12">
        <v>1730001376</v>
      </c>
      <c r="O12">
        <v>1959479709</v>
      </c>
      <c r="P12">
        <v>1094387400</v>
      </c>
    </row>
    <row r="13" spans="1:16">
      <c r="A13" t="s">
        <v>24</v>
      </c>
      <c r="B13" t="s">
        <v>98</v>
      </c>
      <c r="C13">
        <v>37196319</v>
      </c>
      <c r="D13">
        <v>41377862</v>
      </c>
      <c r="E13">
        <v>46204946</v>
      </c>
      <c r="F13">
        <v>55300707</v>
      </c>
      <c r="G13">
        <v>62068171</v>
      </c>
      <c r="H13">
        <v>70429846</v>
      </c>
      <c r="I13">
        <v>73401958</v>
      </c>
      <c r="J13">
        <v>82853515</v>
      </c>
      <c r="K13">
        <v>95135428</v>
      </c>
      <c r="L13">
        <v>105573924</v>
      </c>
      <c r="M13">
        <v>118302802</v>
      </c>
      <c r="N13">
        <v>131929909</v>
      </c>
      <c r="O13">
        <v>147942623</v>
      </c>
      <c r="P13">
        <v>82874660</v>
      </c>
    </row>
    <row r="14" spans="1:16">
      <c r="A14" t="s">
        <v>25</v>
      </c>
      <c r="B14" t="s">
        <v>98</v>
      </c>
      <c r="C14">
        <v>34754725</v>
      </c>
      <c r="D14">
        <v>38996724</v>
      </c>
      <c r="E14">
        <v>43343689</v>
      </c>
      <c r="F14">
        <v>48471579</v>
      </c>
      <c r="G14">
        <v>53393101</v>
      </c>
      <c r="H14">
        <v>60040447</v>
      </c>
      <c r="I14">
        <v>66221729</v>
      </c>
      <c r="J14">
        <v>74545902</v>
      </c>
      <c r="K14">
        <v>85419703</v>
      </c>
      <c r="L14">
        <v>96760556</v>
      </c>
      <c r="M14">
        <v>110091259</v>
      </c>
      <c r="N14">
        <v>126476293</v>
      </c>
      <c r="O14">
        <v>141254963</v>
      </c>
      <c r="P14">
        <v>72675110</v>
      </c>
    </row>
    <row r="15" spans="1:16">
      <c r="A15" t="s">
        <v>26</v>
      </c>
      <c r="B15" t="s">
        <v>98</v>
      </c>
      <c r="C15">
        <v>22387014</v>
      </c>
      <c r="D15">
        <v>25248791</v>
      </c>
      <c r="E15">
        <v>28695292</v>
      </c>
      <c r="F15">
        <v>31623888</v>
      </c>
      <c r="G15">
        <v>36129461</v>
      </c>
      <c r="H15">
        <v>41567350</v>
      </c>
      <c r="I15">
        <v>48289830</v>
      </c>
      <c r="J15">
        <v>54797026</v>
      </c>
      <c r="K15">
        <v>63308277</v>
      </c>
      <c r="L15">
        <v>71242846</v>
      </c>
      <c r="M15">
        <v>81566485</v>
      </c>
      <c r="N15">
        <v>93697760</v>
      </c>
      <c r="O15">
        <v>106331810</v>
      </c>
      <c r="P15">
        <v>57269650</v>
      </c>
    </row>
    <row r="16" spans="1:16">
      <c r="A16" t="s">
        <v>27</v>
      </c>
      <c r="B16" t="s">
        <v>98</v>
      </c>
      <c r="C16">
        <v>161582458</v>
      </c>
      <c r="D16">
        <v>180662993</v>
      </c>
      <c r="E16">
        <v>185554229</v>
      </c>
      <c r="F16">
        <v>209180446</v>
      </c>
      <c r="G16">
        <v>261754270</v>
      </c>
      <c r="H16">
        <v>348264661</v>
      </c>
      <c r="I16">
        <v>388612031</v>
      </c>
      <c r="J16">
        <v>417122932</v>
      </c>
      <c r="K16">
        <v>597893007</v>
      </c>
      <c r="L16">
        <v>539391591</v>
      </c>
      <c r="M16">
        <v>504386685</v>
      </c>
      <c r="N16">
        <v>592808572</v>
      </c>
      <c r="O16">
        <v>648441739</v>
      </c>
      <c r="P16">
        <v>249965500</v>
      </c>
    </row>
    <row r="17" spans="1:16">
      <c r="A17" t="s">
        <v>46</v>
      </c>
      <c r="B17" t="s">
        <v>98</v>
      </c>
      <c r="C17">
        <v>3052574</v>
      </c>
      <c r="D17">
        <v>3768627</v>
      </c>
      <c r="E17">
        <v>4441799</v>
      </c>
      <c r="F17">
        <v>5072895</v>
      </c>
      <c r="G17">
        <v>5754661</v>
      </c>
      <c r="H17">
        <v>7462905</v>
      </c>
      <c r="I17">
        <v>8520889</v>
      </c>
      <c r="J17">
        <v>9946235</v>
      </c>
      <c r="K17">
        <v>12248107</v>
      </c>
      <c r="L17">
        <v>13534890</v>
      </c>
      <c r="M17">
        <v>15662550</v>
      </c>
      <c r="N17">
        <v>16966750</v>
      </c>
      <c r="O17">
        <v>19100040</v>
      </c>
      <c r="P17">
        <v>21406600</v>
      </c>
    </row>
    <row r="18" spans="1:16">
      <c r="A18" t="s">
        <v>28</v>
      </c>
      <c r="B18" t="s">
        <v>98</v>
      </c>
      <c r="C18">
        <v>12940873</v>
      </c>
      <c r="D18">
        <v>15021418</v>
      </c>
      <c r="E18">
        <v>17275999</v>
      </c>
      <c r="F18">
        <v>20425338</v>
      </c>
      <c r="G18">
        <v>23669775</v>
      </c>
      <c r="H18">
        <v>28187392</v>
      </c>
      <c r="I18">
        <v>31539408</v>
      </c>
      <c r="J18">
        <v>35396788</v>
      </c>
      <c r="K18">
        <v>42441969</v>
      </c>
      <c r="L18">
        <v>45979418</v>
      </c>
      <c r="M18">
        <v>52142916</v>
      </c>
      <c r="N18">
        <v>59739377</v>
      </c>
      <c r="O18">
        <v>67612750</v>
      </c>
      <c r="P18">
        <v>37674950</v>
      </c>
    </row>
    <row r="19" spans="1:16">
      <c r="A19" t="s">
        <v>29</v>
      </c>
      <c r="B19" t="s">
        <v>98</v>
      </c>
      <c r="C19">
        <v>50671526</v>
      </c>
      <c r="D19">
        <v>55723283</v>
      </c>
      <c r="E19">
        <v>59331701</v>
      </c>
      <c r="F19">
        <v>62450945</v>
      </c>
      <c r="G19">
        <v>70531119</v>
      </c>
      <c r="H19">
        <v>80183717</v>
      </c>
      <c r="I19">
        <v>90712417</v>
      </c>
      <c r="J19">
        <v>101509657</v>
      </c>
      <c r="K19">
        <v>115149169</v>
      </c>
      <c r="L19">
        <v>124624977</v>
      </c>
      <c r="M19">
        <v>140665454</v>
      </c>
      <c r="N19">
        <v>151370114</v>
      </c>
      <c r="O19">
        <v>169846373</v>
      </c>
      <c r="P19">
        <v>88085220</v>
      </c>
    </row>
    <row r="20" spans="1:16">
      <c r="A20" t="s">
        <v>7</v>
      </c>
      <c r="B20" t="s">
        <v>98</v>
      </c>
      <c r="C20">
        <v>46203233</v>
      </c>
      <c r="D20">
        <v>51512350</v>
      </c>
      <c r="E20">
        <v>58140601</v>
      </c>
      <c r="F20">
        <v>64919781</v>
      </c>
      <c r="G20">
        <v>71925960</v>
      </c>
      <c r="H20">
        <v>81627544</v>
      </c>
      <c r="I20">
        <v>97269366</v>
      </c>
      <c r="J20">
        <v>118898946</v>
      </c>
      <c r="K20">
        <v>144423166</v>
      </c>
      <c r="L20">
        <v>169952420</v>
      </c>
      <c r="M20">
        <v>203874412</v>
      </c>
      <c r="N20">
        <v>238782150</v>
      </c>
      <c r="O20">
        <v>272081168</v>
      </c>
      <c r="P20">
        <v>145158640</v>
      </c>
    </row>
    <row r="21" spans="1:16">
      <c r="A21" t="s">
        <v>13</v>
      </c>
      <c r="B21" t="s">
        <v>98</v>
      </c>
      <c r="C21">
        <v>5538520</v>
      </c>
      <c r="D21">
        <v>6012944</v>
      </c>
      <c r="E21">
        <v>6930463</v>
      </c>
      <c r="F21">
        <v>7377391</v>
      </c>
      <c r="G21">
        <v>8096667</v>
      </c>
      <c r="H21">
        <v>9141428</v>
      </c>
      <c r="I21">
        <v>10188922</v>
      </c>
      <c r="J21">
        <v>11383331</v>
      </c>
      <c r="K21">
        <v>12650533</v>
      </c>
      <c r="L21">
        <v>14205262</v>
      </c>
      <c r="M21">
        <v>16161707</v>
      </c>
      <c r="N21">
        <v>19174123</v>
      </c>
      <c r="O21">
        <v>22909969</v>
      </c>
      <c r="P21">
        <v>13147120</v>
      </c>
    </row>
    <row r="22" spans="1:16">
      <c r="A22" t="s">
        <v>30</v>
      </c>
      <c r="B22" t="s">
        <v>98</v>
      </c>
      <c r="C22">
        <v>3750527</v>
      </c>
      <c r="D22">
        <v>3900876</v>
      </c>
      <c r="E22">
        <v>4070296</v>
      </c>
      <c r="F22">
        <v>4350198</v>
      </c>
      <c r="G22">
        <v>4748983</v>
      </c>
      <c r="H22">
        <v>5189573</v>
      </c>
      <c r="I22">
        <v>5658073</v>
      </c>
      <c r="J22">
        <v>6332987</v>
      </c>
      <c r="K22">
        <v>7655934</v>
      </c>
      <c r="L22">
        <v>9184148</v>
      </c>
      <c r="M22">
        <v>10573314</v>
      </c>
      <c r="N22">
        <v>11914954</v>
      </c>
      <c r="O22">
        <v>13583911</v>
      </c>
      <c r="P22">
        <v>7275490</v>
      </c>
    </row>
    <row r="23" spans="1:16">
      <c r="A23" t="s">
        <v>31</v>
      </c>
      <c r="B23" t="s">
        <v>98</v>
      </c>
      <c r="C23">
        <v>24386337</v>
      </c>
      <c r="D23">
        <v>30568524</v>
      </c>
      <c r="E23">
        <v>32639599</v>
      </c>
      <c r="F23">
        <v>35021049</v>
      </c>
      <c r="G23">
        <v>44411727</v>
      </c>
      <c r="H23">
        <v>51437946</v>
      </c>
      <c r="I23">
        <v>57236898</v>
      </c>
      <c r="J23">
        <v>67106154</v>
      </c>
      <c r="K23">
        <v>70262115</v>
      </c>
      <c r="L23">
        <v>87263851</v>
      </c>
      <c r="M23">
        <v>98545846</v>
      </c>
      <c r="N23">
        <v>97432271</v>
      </c>
      <c r="O23">
        <v>98896951</v>
      </c>
      <c r="P23">
        <v>55174070</v>
      </c>
    </row>
    <row r="24" spans="1:16">
      <c r="A24" t="s">
        <v>32</v>
      </c>
      <c r="B24" t="s">
        <v>98</v>
      </c>
      <c r="C24">
        <v>15275033</v>
      </c>
      <c r="D24">
        <v>17590901</v>
      </c>
      <c r="E24">
        <v>19785219</v>
      </c>
      <c r="F24">
        <v>23253482</v>
      </c>
      <c r="G24">
        <v>26100230</v>
      </c>
      <c r="H24">
        <v>29283234</v>
      </c>
      <c r="I24">
        <v>33422502</v>
      </c>
      <c r="J24">
        <v>37826754</v>
      </c>
      <c r="K24">
        <v>42791584</v>
      </c>
      <c r="L24">
        <v>47969792</v>
      </c>
      <c r="M24">
        <v>54665526</v>
      </c>
      <c r="N24">
        <v>61630488</v>
      </c>
      <c r="O24">
        <v>69562790</v>
      </c>
      <c r="P24">
        <v>37852860</v>
      </c>
    </row>
    <row r="25" spans="1:16">
      <c r="A25" t="s">
        <v>14</v>
      </c>
      <c r="B25" t="s">
        <v>98</v>
      </c>
      <c r="C25">
        <v>36877207</v>
      </c>
      <c r="D25">
        <v>43202322</v>
      </c>
      <c r="E25">
        <v>45107368</v>
      </c>
      <c r="F25">
        <v>47735701</v>
      </c>
      <c r="G25">
        <v>49699515</v>
      </c>
      <c r="H25">
        <v>87181748</v>
      </c>
      <c r="I25">
        <v>95005152</v>
      </c>
      <c r="J25">
        <v>111027770</v>
      </c>
      <c r="K25">
        <v>122892111</v>
      </c>
      <c r="L25">
        <v>154507475</v>
      </c>
      <c r="M25">
        <v>174337589</v>
      </c>
      <c r="N25">
        <v>155254541</v>
      </c>
      <c r="O25">
        <v>156969992</v>
      </c>
      <c r="P25">
        <v>91304400</v>
      </c>
    </row>
    <row r="26" spans="1:16">
      <c r="A26" t="s">
        <v>33</v>
      </c>
      <c r="B26" t="s">
        <v>98</v>
      </c>
      <c r="C26">
        <v>7960522</v>
      </c>
      <c r="D26">
        <v>8747451</v>
      </c>
      <c r="E26">
        <v>9722777</v>
      </c>
      <c r="F26">
        <v>11202419</v>
      </c>
      <c r="G26">
        <v>13278303</v>
      </c>
      <c r="H26">
        <v>15893793</v>
      </c>
      <c r="I26">
        <v>17960688</v>
      </c>
      <c r="J26">
        <v>20784810</v>
      </c>
      <c r="K26">
        <v>27679384</v>
      </c>
      <c r="L26">
        <v>34196358</v>
      </c>
      <c r="M26">
        <v>48062315</v>
      </c>
      <c r="N26">
        <v>50902430</v>
      </c>
      <c r="O26">
        <v>59095718</v>
      </c>
      <c r="P26">
        <v>18748460</v>
      </c>
    </row>
    <row r="27" spans="1:16">
      <c r="A27" t="s">
        <v>4</v>
      </c>
      <c r="B27" t="s">
        <v>98</v>
      </c>
      <c r="C27">
        <v>139219557</v>
      </c>
      <c r="D27">
        <v>159932803</v>
      </c>
      <c r="E27">
        <v>173166876</v>
      </c>
      <c r="F27">
        <v>194409727</v>
      </c>
      <c r="G27">
        <v>228415976</v>
      </c>
      <c r="H27">
        <v>277429650</v>
      </c>
      <c r="I27">
        <v>333156622</v>
      </c>
      <c r="J27">
        <v>420165749</v>
      </c>
      <c r="K27">
        <v>549249013</v>
      </c>
      <c r="L27">
        <v>586077228</v>
      </c>
      <c r="M27">
        <v>676462579</v>
      </c>
      <c r="N27">
        <v>660543973</v>
      </c>
      <c r="O27">
        <v>756461093</v>
      </c>
      <c r="P27">
        <v>330541950</v>
      </c>
    </row>
    <row r="28" spans="1:16">
      <c r="A28" t="s">
        <v>34</v>
      </c>
      <c r="B28" t="s">
        <v>98</v>
      </c>
      <c r="C28">
        <v>4980533</v>
      </c>
      <c r="D28">
        <v>5652345</v>
      </c>
      <c r="E28">
        <v>6304257</v>
      </c>
      <c r="F28">
        <v>6907074</v>
      </c>
      <c r="G28">
        <v>7721941</v>
      </c>
      <c r="H28">
        <v>8845104</v>
      </c>
      <c r="I28">
        <v>10297642</v>
      </c>
      <c r="J28">
        <v>12261482</v>
      </c>
      <c r="K28">
        <v>15944051</v>
      </c>
      <c r="L28">
        <v>18301849</v>
      </c>
      <c r="M28">
        <v>21884325</v>
      </c>
      <c r="N28">
        <v>25631407</v>
      </c>
      <c r="O28">
        <v>28973913</v>
      </c>
      <c r="P28">
        <v>15075270</v>
      </c>
    </row>
    <row r="29" spans="1:16">
      <c r="A29" t="s">
        <v>35</v>
      </c>
      <c r="B29" t="s">
        <v>98</v>
      </c>
      <c r="C29">
        <v>56032756</v>
      </c>
      <c r="D29">
        <v>63429624</v>
      </c>
      <c r="E29">
        <v>70080199</v>
      </c>
      <c r="F29">
        <v>78418358</v>
      </c>
      <c r="G29">
        <v>89337562</v>
      </c>
      <c r="H29">
        <v>103479400</v>
      </c>
      <c r="I29">
        <v>119944746</v>
      </c>
      <c r="J29">
        <v>136720895</v>
      </c>
      <c r="K29">
        <v>166965381</v>
      </c>
      <c r="L29">
        <v>195955550</v>
      </c>
      <c r="M29">
        <v>231473330</v>
      </c>
      <c r="N29">
        <v>270986521</v>
      </c>
      <c r="O29">
        <v>314590607</v>
      </c>
      <c r="P29">
        <v>180197670</v>
      </c>
    </row>
    <row r="30" spans="1:16">
      <c r="A30" t="s">
        <v>36</v>
      </c>
      <c r="B30" t="s">
        <v>98</v>
      </c>
      <c r="C30">
        <v>17298412</v>
      </c>
      <c r="D30">
        <v>20498419</v>
      </c>
      <c r="E30">
        <v>23166756</v>
      </c>
      <c r="F30">
        <v>25573318</v>
      </c>
      <c r="G30">
        <v>28805268</v>
      </c>
      <c r="H30">
        <v>33676042</v>
      </c>
      <c r="I30">
        <v>38479143</v>
      </c>
      <c r="J30">
        <v>45020021</v>
      </c>
      <c r="K30">
        <v>55122861</v>
      </c>
      <c r="L30">
        <v>62680829</v>
      </c>
      <c r="M30">
        <v>72232996</v>
      </c>
      <c r="N30">
        <v>85872262</v>
      </c>
      <c r="O30">
        <v>99958754</v>
      </c>
      <c r="P30">
        <v>53755410</v>
      </c>
    </row>
    <row r="31" spans="1:16">
      <c r="A31" t="s">
        <v>37</v>
      </c>
      <c r="B31" t="s">
        <v>98</v>
      </c>
      <c r="C31">
        <v>11504167</v>
      </c>
      <c r="D31">
        <v>13754528</v>
      </c>
      <c r="E31">
        <v>16182613</v>
      </c>
      <c r="F31">
        <v>17939978</v>
      </c>
      <c r="G31">
        <v>20751266</v>
      </c>
      <c r="H31">
        <v>25991196</v>
      </c>
      <c r="I31">
        <v>30563799</v>
      </c>
      <c r="J31">
        <v>35864112</v>
      </c>
      <c r="K31">
        <v>44271164</v>
      </c>
      <c r="L31">
        <v>51176321</v>
      </c>
      <c r="M31">
        <v>56915333</v>
      </c>
      <c r="N31">
        <v>64595827</v>
      </c>
      <c r="O31">
        <v>73736836</v>
      </c>
      <c r="P31">
        <v>39357520</v>
      </c>
    </row>
    <row r="32" spans="1:16">
      <c r="A32" t="s">
        <v>38</v>
      </c>
      <c r="B32" t="s">
        <v>98</v>
      </c>
      <c r="C32">
        <v>80064610</v>
      </c>
      <c r="D32">
        <v>91403960</v>
      </c>
      <c r="E32">
        <v>102964972</v>
      </c>
      <c r="F32">
        <v>117997587</v>
      </c>
      <c r="G32">
        <v>134486457</v>
      </c>
      <c r="H32">
        <v>158126876</v>
      </c>
      <c r="I32">
        <v>181468634</v>
      </c>
      <c r="J32">
        <v>205654408</v>
      </c>
      <c r="K32">
        <v>241530117</v>
      </c>
      <c r="L32">
        <v>268244416</v>
      </c>
      <c r="M32">
        <v>311810587</v>
      </c>
      <c r="N32">
        <v>355063857</v>
      </c>
      <c r="O32">
        <v>397044816</v>
      </c>
      <c r="P32">
        <v>51894810</v>
      </c>
    </row>
    <row r="33" spans="1:16">
      <c r="A33" t="s">
        <v>39</v>
      </c>
      <c r="B33" t="s">
        <v>98</v>
      </c>
      <c r="C33">
        <v>46110870</v>
      </c>
      <c r="D33">
        <v>52320856</v>
      </c>
      <c r="E33">
        <v>59667756</v>
      </c>
      <c r="F33">
        <v>66219214</v>
      </c>
      <c r="G33">
        <v>74437143</v>
      </c>
      <c r="H33">
        <v>88313279</v>
      </c>
      <c r="I33">
        <v>104415839</v>
      </c>
      <c r="J33">
        <v>118543175</v>
      </c>
      <c r="K33">
        <v>139570901</v>
      </c>
      <c r="L33">
        <v>152813088</v>
      </c>
      <c r="M33">
        <v>173286633</v>
      </c>
      <c r="N33">
        <v>196154940</v>
      </c>
      <c r="O33">
        <v>219615130</v>
      </c>
      <c r="P33">
        <v>125684910</v>
      </c>
    </row>
    <row r="34" spans="1:16">
      <c r="A34" t="s">
        <v>40</v>
      </c>
      <c r="B34" t="s">
        <v>98</v>
      </c>
      <c r="C34">
        <v>82409746</v>
      </c>
      <c r="D34">
        <v>93795709</v>
      </c>
      <c r="E34">
        <v>100170603</v>
      </c>
      <c r="F34">
        <v>113172918</v>
      </c>
      <c r="G34">
        <v>130029709</v>
      </c>
      <c r="H34">
        <v>164348074</v>
      </c>
      <c r="I34">
        <v>192182187</v>
      </c>
      <c r="J34">
        <v>221406110</v>
      </c>
      <c r="K34">
        <v>267860483</v>
      </c>
      <c r="L34">
        <v>277343298</v>
      </c>
      <c r="M34">
        <v>317233673</v>
      </c>
      <c r="N34">
        <v>314808942</v>
      </c>
      <c r="O34">
        <v>360512697</v>
      </c>
      <c r="P34">
        <v>173947330</v>
      </c>
    </row>
    <row r="35" spans="1:16">
      <c r="A35" t="s">
        <v>41</v>
      </c>
      <c r="B35" t="s">
        <v>98</v>
      </c>
      <c r="C35">
        <v>81340085</v>
      </c>
      <c r="D35">
        <v>92314901</v>
      </c>
      <c r="E35">
        <v>105605218</v>
      </c>
      <c r="F35">
        <v>119922518</v>
      </c>
      <c r="G35">
        <v>135070988</v>
      </c>
      <c r="H35">
        <v>160782892</v>
      </c>
      <c r="I35">
        <v>181583116</v>
      </c>
      <c r="J35">
        <v>207387137</v>
      </c>
      <c r="K35">
        <v>240207194</v>
      </c>
      <c r="L35">
        <v>268581270</v>
      </c>
      <c r="M35">
        <v>306540603</v>
      </c>
      <c r="N35">
        <v>343467724</v>
      </c>
      <c r="O35">
        <v>385855246</v>
      </c>
      <c r="P35">
        <v>385529980</v>
      </c>
    </row>
    <row r="36" spans="1:16">
      <c r="A36" t="s">
        <v>3</v>
      </c>
      <c r="B36" t="s">
        <v>99</v>
      </c>
      <c r="C36">
        <v>1859274</v>
      </c>
      <c r="D36">
        <v>2654525</v>
      </c>
      <c r="E36">
        <v>5185290</v>
      </c>
      <c r="F36">
        <v>3355495</v>
      </c>
      <c r="G36">
        <v>3611970</v>
      </c>
      <c r="H36">
        <v>6722954</v>
      </c>
      <c r="I36">
        <v>10134032</v>
      </c>
      <c r="J36">
        <v>9660837</v>
      </c>
      <c r="K36">
        <v>11603276</v>
      </c>
      <c r="L36">
        <v>12358949</v>
      </c>
      <c r="M36">
        <v>14131101</v>
      </c>
      <c r="N36">
        <v>15932110</v>
      </c>
      <c r="O36">
        <v>17807744</v>
      </c>
      <c r="P36">
        <v>19846087</v>
      </c>
    </row>
    <row r="37" spans="1:16">
      <c r="A37" t="s">
        <v>11</v>
      </c>
      <c r="B37" t="s">
        <v>99</v>
      </c>
      <c r="C37">
        <v>2499248</v>
      </c>
      <c r="D37">
        <v>2948368</v>
      </c>
      <c r="E37">
        <v>3118297</v>
      </c>
      <c r="F37">
        <v>3196444</v>
      </c>
      <c r="G37">
        <v>3623370</v>
      </c>
      <c r="H37">
        <v>4045889</v>
      </c>
      <c r="I37">
        <v>4648651</v>
      </c>
      <c r="J37">
        <v>7605955</v>
      </c>
      <c r="K37">
        <v>10879975</v>
      </c>
      <c r="L37">
        <v>13427563</v>
      </c>
      <c r="M37">
        <v>18220245</v>
      </c>
      <c r="N37">
        <v>23000213</v>
      </c>
      <c r="O37">
        <v>29298243</v>
      </c>
      <c r="P37">
        <v>34061993</v>
      </c>
    </row>
    <row r="38" spans="1:16">
      <c r="A38" t="s">
        <v>10</v>
      </c>
      <c r="B38" t="s">
        <v>99</v>
      </c>
      <c r="C38">
        <v>9075344</v>
      </c>
      <c r="D38">
        <v>10372758</v>
      </c>
      <c r="E38">
        <v>12052294</v>
      </c>
      <c r="F38">
        <v>13465497</v>
      </c>
      <c r="G38">
        <v>15310282</v>
      </c>
      <c r="H38">
        <v>18097676</v>
      </c>
      <c r="I38">
        <v>21508420</v>
      </c>
      <c r="J38">
        <v>24294242</v>
      </c>
      <c r="K38">
        <v>32283714</v>
      </c>
      <c r="L38">
        <v>47058722</v>
      </c>
      <c r="M38">
        <v>54610285</v>
      </c>
      <c r="N38">
        <v>62189918</v>
      </c>
      <c r="O38">
        <v>74501930</v>
      </c>
      <c r="P38">
        <v>89379705</v>
      </c>
    </row>
    <row r="39" spans="1:16">
      <c r="A39" t="s">
        <v>6</v>
      </c>
      <c r="B39" t="s">
        <v>99</v>
      </c>
      <c r="C39">
        <v>402744</v>
      </c>
      <c r="D39">
        <v>452714</v>
      </c>
      <c r="E39">
        <v>504544</v>
      </c>
      <c r="F39">
        <v>581878</v>
      </c>
      <c r="G39">
        <v>663746</v>
      </c>
      <c r="H39">
        <v>821342</v>
      </c>
      <c r="I39">
        <v>929176</v>
      </c>
      <c r="J39">
        <v>1364619</v>
      </c>
      <c r="K39">
        <v>1575738</v>
      </c>
      <c r="L39">
        <v>1724770</v>
      </c>
      <c r="M39">
        <v>1972129</v>
      </c>
      <c r="N39">
        <v>2291815</v>
      </c>
      <c r="O39">
        <v>2619782</v>
      </c>
      <c r="P39">
        <v>3027787</v>
      </c>
    </row>
    <row r="40" spans="1:16">
      <c r="A40" t="s">
        <v>9</v>
      </c>
      <c r="B40" t="s">
        <v>99</v>
      </c>
      <c r="C40">
        <v>3350069</v>
      </c>
      <c r="D40">
        <v>3814187</v>
      </c>
      <c r="E40">
        <v>4582332</v>
      </c>
      <c r="F40">
        <v>5261514</v>
      </c>
      <c r="G40">
        <v>5705888</v>
      </c>
      <c r="H40">
        <v>6840893</v>
      </c>
      <c r="I40">
        <v>9178969</v>
      </c>
      <c r="J40">
        <v>10834671</v>
      </c>
      <c r="K40">
        <v>12983264</v>
      </c>
      <c r="L40">
        <v>13964317</v>
      </c>
      <c r="M40">
        <v>15027836</v>
      </c>
      <c r="N40">
        <v>16466550</v>
      </c>
      <c r="O40">
        <v>17868279</v>
      </c>
      <c r="P40">
        <v>19908292</v>
      </c>
    </row>
    <row r="41" spans="1:16">
      <c r="A41" t="s">
        <v>8</v>
      </c>
      <c r="B41" t="s">
        <v>99</v>
      </c>
      <c r="C41">
        <v>80887064</v>
      </c>
      <c r="D41">
        <v>90920984</v>
      </c>
      <c r="E41">
        <v>104668944</v>
      </c>
      <c r="F41">
        <v>110171384</v>
      </c>
      <c r="G41">
        <v>133648720</v>
      </c>
      <c r="H41">
        <v>160113312</v>
      </c>
      <c r="I41">
        <v>179346176</v>
      </c>
      <c r="J41">
        <v>212338112</v>
      </c>
      <c r="K41">
        <v>242473024</v>
      </c>
      <c r="L41">
        <v>263468267</v>
      </c>
      <c r="M41">
        <v>299187254</v>
      </c>
      <c r="N41">
        <v>360809595</v>
      </c>
      <c r="O41">
        <v>419171821</v>
      </c>
      <c r="P41">
        <v>469835719</v>
      </c>
    </row>
    <row r="42" spans="1:16">
      <c r="A42" t="s">
        <v>12</v>
      </c>
      <c r="B42" t="s">
        <v>99</v>
      </c>
      <c r="C42">
        <v>253528</v>
      </c>
      <c r="D42">
        <v>332104</v>
      </c>
      <c r="E42">
        <v>404561</v>
      </c>
      <c r="F42">
        <v>587667</v>
      </c>
      <c r="G42">
        <v>888122</v>
      </c>
      <c r="H42">
        <v>901970</v>
      </c>
      <c r="I42">
        <v>969487</v>
      </c>
      <c r="J42">
        <v>1159987</v>
      </c>
      <c r="K42">
        <v>1320293</v>
      </c>
      <c r="L42">
        <v>1491665</v>
      </c>
      <c r="M42">
        <v>1668098</v>
      </c>
      <c r="N42">
        <v>1975322</v>
      </c>
      <c r="O42">
        <v>2208573</v>
      </c>
      <c r="P42">
        <v>2435725</v>
      </c>
    </row>
    <row r="43" spans="1:16">
      <c r="A43" t="s">
        <v>5</v>
      </c>
      <c r="B43" t="s">
        <v>99</v>
      </c>
      <c r="C43">
        <v>1344184</v>
      </c>
      <c r="D43">
        <v>1697862</v>
      </c>
      <c r="E43">
        <v>1963029</v>
      </c>
      <c r="F43">
        <v>2253620</v>
      </c>
      <c r="G43">
        <v>2687005</v>
      </c>
      <c r="H43">
        <v>3075533</v>
      </c>
      <c r="I43">
        <v>3968514</v>
      </c>
      <c r="J43">
        <v>5513581</v>
      </c>
      <c r="K43">
        <v>6213893</v>
      </c>
      <c r="L43">
        <v>7401966</v>
      </c>
      <c r="M43">
        <v>8719962</v>
      </c>
      <c r="N43">
        <v>10696504</v>
      </c>
      <c r="O43">
        <v>12984303</v>
      </c>
      <c r="P43">
        <v>15840348</v>
      </c>
    </row>
    <row r="44" spans="1:16">
      <c r="A44" t="s">
        <v>21</v>
      </c>
      <c r="B44" t="s">
        <v>99</v>
      </c>
      <c r="C44">
        <v>30581650</v>
      </c>
      <c r="D44">
        <v>33585700</v>
      </c>
      <c r="E44">
        <v>36073192</v>
      </c>
      <c r="F44">
        <v>42873464</v>
      </c>
      <c r="G44">
        <v>49749372</v>
      </c>
      <c r="H44">
        <v>63646176</v>
      </c>
      <c r="I44">
        <v>75641576</v>
      </c>
      <c r="J44">
        <v>87498800</v>
      </c>
      <c r="K44">
        <v>107927344</v>
      </c>
      <c r="L44">
        <v>116396431</v>
      </c>
      <c r="M44">
        <v>134500301</v>
      </c>
      <c r="N44">
        <v>153905250</v>
      </c>
      <c r="O44">
        <v>175201066</v>
      </c>
      <c r="P44">
        <v>194239432</v>
      </c>
    </row>
    <row r="45" spans="1:16">
      <c r="A45" t="s">
        <v>22</v>
      </c>
      <c r="B45" t="s">
        <v>99</v>
      </c>
      <c r="C45">
        <v>19443890</v>
      </c>
      <c r="D45">
        <v>21515844</v>
      </c>
      <c r="E45">
        <v>24392022</v>
      </c>
      <c r="F45">
        <v>27672216</v>
      </c>
      <c r="G45">
        <v>32603178</v>
      </c>
      <c r="H45">
        <v>36772032</v>
      </c>
      <c r="I45">
        <v>48525636</v>
      </c>
      <c r="J45">
        <v>55161028</v>
      </c>
      <c r="K45">
        <v>68286648</v>
      </c>
      <c r="L45">
        <v>77408666</v>
      </c>
      <c r="M45">
        <v>85331512</v>
      </c>
      <c r="N45">
        <v>92102444</v>
      </c>
      <c r="O45">
        <v>109221190</v>
      </c>
      <c r="P45">
        <v>124769745</v>
      </c>
    </row>
    <row r="46" spans="1:16">
      <c r="A46" t="s">
        <v>23</v>
      </c>
      <c r="B46" t="s">
        <v>99</v>
      </c>
      <c r="C46">
        <v>37579472</v>
      </c>
      <c r="D46">
        <v>44587144</v>
      </c>
      <c r="E46">
        <v>50837620</v>
      </c>
      <c r="F46">
        <v>54941116</v>
      </c>
      <c r="G46">
        <v>61857432</v>
      </c>
      <c r="H46">
        <v>71249344</v>
      </c>
      <c r="I46">
        <v>85766888</v>
      </c>
      <c r="J46">
        <v>94567032</v>
      </c>
      <c r="K46">
        <v>110498776</v>
      </c>
      <c r="L46">
        <v>122639584</v>
      </c>
      <c r="M46">
        <v>138093037</v>
      </c>
      <c r="N46">
        <v>166863568</v>
      </c>
      <c r="O46">
        <v>201490585</v>
      </c>
      <c r="P46">
        <v>224397534</v>
      </c>
    </row>
    <row r="47" spans="1:16">
      <c r="A47" t="s">
        <v>24</v>
      </c>
      <c r="B47" t="s">
        <v>99</v>
      </c>
      <c r="C47">
        <v>5760334</v>
      </c>
      <c r="D47">
        <v>5811816</v>
      </c>
      <c r="E47">
        <v>6169406</v>
      </c>
      <c r="F47">
        <v>6680716</v>
      </c>
      <c r="G47">
        <v>7215173</v>
      </c>
      <c r="H47">
        <v>8580222</v>
      </c>
      <c r="I47">
        <v>10501819</v>
      </c>
      <c r="J47">
        <v>12096608</v>
      </c>
      <c r="K47">
        <v>13821351</v>
      </c>
      <c r="L47">
        <v>15360150</v>
      </c>
      <c r="M47">
        <v>16933372</v>
      </c>
      <c r="N47">
        <v>18579449</v>
      </c>
      <c r="O47">
        <v>21011935</v>
      </c>
      <c r="P47">
        <v>22522392</v>
      </c>
    </row>
    <row r="48" spans="1:16">
      <c r="A48" t="s">
        <v>25</v>
      </c>
      <c r="B48" t="s">
        <v>99</v>
      </c>
      <c r="C48">
        <v>2303135</v>
      </c>
      <c r="D48">
        <v>2358416</v>
      </c>
      <c r="E48">
        <v>2385066</v>
      </c>
      <c r="F48">
        <v>2536230</v>
      </c>
      <c r="G48">
        <v>2774742</v>
      </c>
      <c r="H48">
        <v>3085217</v>
      </c>
      <c r="I48">
        <v>3675834</v>
      </c>
      <c r="J48">
        <v>5457705</v>
      </c>
      <c r="K48">
        <v>8397672</v>
      </c>
      <c r="L48">
        <v>10273360</v>
      </c>
      <c r="M48">
        <v>12141100</v>
      </c>
      <c r="N48">
        <v>13994885</v>
      </c>
      <c r="O48">
        <v>16044321</v>
      </c>
      <c r="P48">
        <v>18696542</v>
      </c>
    </row>
    <row r="49" spans="1:16">
      <c r="A49" t="s">
        <v>26</v>
      </c>
      <c r="B49" t="s">
        <v>99</v>
      </c>
      <c r="C49">
        <v>4013268</v>
      </c>
      <c r="D49">
        <v>4475768</v>
      </c>
      <c r="E49">
        <v>4831875</v>
      </c>
      <c r="F49">
        <v>5317859</v>
      </c>
      <c r="G49">
        <v>6188471</v>
      </c>
      <c r="H49">
        <v>7535692</v>
      </c>
      <c r="I49">
        <v>10040579</v>
      </c>
      <c r="J49">
        <v>11787262</v>
      </c>
      <c r="K49">
        <v>14521426</v>
      </c>
      <c r="L49">
        <v>16013504</v>
      </c>
      <c r="M49">
        <v>18393798</v>
      </c>
      <c r="N49">
        <v>21350178</v>
      </c>
      <c r="O49">
        <v>25764473</v>
      </c>
      <c r="P49">
        <v>29695545</v>
      </c>
    </row>
    <row r="50" spans="1:16">
      <c r="A50" t="s">
        <v>27</v>
      </c>
      <c r="B50" t="s">
        <v>99</v>
      </c>
      <c r="C50">
        <v>8906808</v>
      </c>
      <c r="D50">
        <v>11718497</v>
      </c>
      <c r="E50">
        <v>13751361</v>
      </c>
      <c r="F50">
        <v>16362774</v>
      </c>
      <c r="G50">
        <v>18487192</v>
      </c>
      <c r="H50">
        <v>20886840</v>
      </c>
      <c r="I50">
        <v>24429058</v>
      </c>
      <c r="J50">
        <v>28331856</v>
      </c>
      <c r="K50">
        <v>35639764</v>
      </c>
      <c r="L50">
        <v>39242630</v>
      </c>
      <c r="M50">
        <v>44923631</v>
      </c>
      <c r="N50">
        <v>51476523</v>
      </c>
      <c r="O50">
        <v>60678389</v>
      </c>
      <c r="P50">
        <v>67488858</v>
      </c>
    </row>
    <row r="51" spans="1:16">
      <c r="A51" t="s">
        <v>46</v>
      </c>
      <c r="B51" t="s">
        <v>99</v>
      </c>
    </row>
    <row r="52" spans="1:16">
      <c r="A52" t="s">
        <v>28</v>
      </c>
      <c r="B52" t="s">
        <v>99</v>
      </c>
      <c r="C52">
        <v>948340</v>
      </c>
      <c r="D52">
        <v>1221073</v>
      </c>
      <c r="E52">
        <v>1320397</v>
      </c>
      <c r="F52">
        <v>1679193</v>
      </c>
      <c r="G52">
        <v>2706302</v>
      </c>
      <c r="H52">
        <v>3533109</v>
      </c>
      <c r="I52">
        <v>3793831</v>
      </c>
      <c r="J52">
        <v>4474760</v>
      </c>
      <c r="K52">
        <v>5588608</v>
      </c>
      <c r="L52">
        <v>6135023</v>
      </c>
      <c r="M52">
        <v>6826796</v>
      </c>
      <c r="N52">
        <v>7811270</v>
      </c>
      <c r="O52">
        <v>9235284</v>
      </c>
      <c r="P52">
        <v>10519079</v>
      </c>
    </row>
    <row r="53" spans="1:16">
      <c r="A53" t="s">
        <v>29</v>
      </c>
      <c r="B53" t="s">
        <v>99</v>
      </c>
      <c r="C53">
        <v>11508795</v>
      </c>
      <c r="D53">
        <v>21345819</v>
      </c>
      <c r="E53">
        <v>26514246</v>
      </c>
      <c r="F53">
        <v>17781370</v>
      </c>
      <c r="G53">
        <v>18271618</v>
      </c>
      <c r="H53">
        <v>10470060</v>
      </c>
      <c r="I53">
        <v>13249338</v>
      </c>
      <c r="J53">
        <v>18464500</v>
      </c>
      <c r="K53">
        <v>28630934</v>
      </c>
      <c r="L53">
        <v>38169644</v>
      </c>
      <c r="M53">
        <v>51149983</v>
      </c>
      <c r="N53">
        <v>60223260</v>
      </c>
      <c r="O53">
        <v>72974470</v>
      </c>
      <c r="P53">
        <v>84252083</v>
      </c>
    </row>
    <row r="54" spans="1:16">
      <c r="A54" t="s">
        <v>7</v>
      </c>
      <c r="B54" t="s">
        <v>99</v>
      </c>
      <c r="C54">
        <v>4279942</v>
      </c>
      <c r="D54">
        <v>4553366</v>
      </c>
      <c r="E54">
        <v>4969997</v>
      </c>
      <c r="F54">
        <v>5323225</v>
      </c>
      <c r="G54">
        <v>5807551</v>
      </c>
      <c r="H54">
        <v>7379052</v>
      </c>
      <c r="I54">
        <v>8586097</v>
      </c>
      <c r="J54">
        <v>10127981</v>
      </c>
      <c r="K54">
        <v>13548673</v>
      </c>
      <c r="L54">
        <v>16299817</v>
      </c>
      <c r="M54">
        <v>18667584</v>
      </c>
      <c r="N54">
        <v>22130674</v>
      </c>
      <c r="O54">
        <v>25656641</v>
      </c>
      <c r="P54">
        <v>28983843</v>
      </c>
    </row>
    <row r="55" spans="1:16">
      <c r="A55" t="s">
        <v>13</v>
      </c>
      <c r="B55" t="s">
        <v>99</v>
      </c>
      <c r="C55">
        <v>76088</v>
      </c>
      <c r="D55">
        <v>86020</v>
      </c>
      <c r="E55">
        <v>144446</v>
      </c>
      <c r="F55">
        <v>160598</v>
      </c>
      <c r="G55">
        <v>192439</v>
      </c>
      <c r="H55">
        <v>209535</v>
      </c>
      <c r="I55">
        <v>244851</v>
      </c>
      <c r="J55">
        <v>326074</v>
      </c>
      <c r="K55">
        <v>380001</v>
      </c>
      <c r="L55">
        <v>421152</v>
      </c>
      <c r="M55">
        <v>509177</v>
      </c>
      <c r="N55">
        <v>625025</v>
      </c>
      <c r="O55">
        <v>818723</v>
      </c>
      <c r="P55">
        <v>937987</v>
      </c>
    </row>
    <row r="56" spans="1:16">
      <c r="A56" t="s">
        <v>30</v>
      </c>
      <c r="B56" t="s">
        <v>99</v>
      </c>
      <c r="C56">
        <v>56155</v>
      </c>
      <c r="D56">
        <v>73955</v>
      </c>
      <c r="E56">
        <v>88988</v>
      </c>
      <c r="F56">
        <v>75126</v>
      </c>
      <c r="G56">
        <v>84301</v>
      </c>
      <c r="H56">
        <v>135748</v>
      </c>
      <c r="I56">
        <v>186402</v>
      </c>
      <c r="J56">
        <v>230930</v>
      </c>
      <c r="K56">
        <v>323630</v>
      </c>
      <c r="L56">
        <v>447619</v>
      </c>
      <c r="M56">
        <v>507019</v>
      </c>
      <c r="N56">
        <v>592832</v>
      </c>
      <c r="O56">
        <v>697330</v>
      </c>
      <c r="P56">
        <v>788003</v>
      </c>
    </row>
    <row r="57" spans="1:16">
      <c r="A57" t="s">
        <v>31</v>
      </c>
      <c r="B57" t="s">
        <v>99</v>
      </c>
      <c r="C57">
        <v>2858397</v>
      </c>
      <c r="D57">
        <v>3319583</v>
      </c>
      <c r="E57">
        <v>3713772</v>
      </c>
      <c r="F57">
        <v>4087296</v>
      </c>
      <c r="G57">
        <v>4601038</v>
      </c>
      <c r="H57">
        <v>5246875</v>
      </c>
      <c r="I57">
        <v>6070618</v>
      </c>
      <c r="J57">
        <v>7535111</v>
      </c>
      <c r="K57">
        <v>8845079</v>
      </c>
      <c r="L57">
        <v>11056066</v>
      </c>
      <c r="M57">
        <v>10809511</v>
      </c>
      <c r="N57">
        <v>12137547</v>
      </c>
      <c r="O57">
        <v>15370638</v>
      </c>
      <c r="P57">
        <v>16406323</v>
      </c>
    </row>
    <row r="58" spans="1:16">
      <c r="A58" t="s">
        <v>32</v>
      </c>
      <c r="B58" t="s">
        <v>99</v>
      </c>
      <c r="C58">
        <v>1616969</v>
      </c>
      <c r="D58">
        <v>1760479</v>
      </c>
      <c r="E58">
        <v>1876279</v>
      </c>
      <c r="F58">
        <v>1279469</v>
      </c>
      <c r="G58">
        <v>1681351</v>
      </c>
      <c r="H58">
        <v>1631425</v>
      </c>
      <c r="I58">
        <v>2466224</v>
      </c>
      <c r="J58">
        <v>2672400</v>
      </c>
      <c r="K58">
        <v>2905363</v>
      </c>
      <c r="L58">
        <v>3702522</v>
      </c>
      <c r="M58">
        <v>4568456</v>
      </c>
      <c r="N58">
        <v>5488722</v>
      </c>
      <c r="O58">
        <v>6765611</v>
      </c>
      <c r="P58">
        <v>8068143</v>
      </c>
    </row>
    <row r="59" spans="1:16">
      <c r="A59" t="s">
        <v>14</v>
      </c>
      <c r="B59" t="s">
        <v>99</v>
      </c>
      <c r="C59">
        <v>2067425</v>
      </c>
      <c r="D59">
        <v>2812365</v>
      </c>
      <c r="E59">
        <v>4166789</v>
      </c>
      <c r="F59">
        <v>5060131</v>
      </c>
      <c r="G59">
        <v>6484486</v>
      </c>
      <c r="H59">
        <v>7536927</v>
      </c>
      <c r="I59">
        <v>10397056</v>
      </c>
      <c r="J59">
        <v>13801150</v>
      </c>
      <c r="K59">
        <v>17231782</v>
      </c>
      <c r="L59">
        <v>20809024</v>
      </c>
      <c r="M59">
        <v>24592564</v>
      </c>
      <c r="N59">
        <v>27783953</v>
      </c>
      <c r="O59">
        <v>30980533</v>
      </c>
      <c r="P59">
        <v>34869111</v>
      </c>
    </row>
    <row r="60" spans="1:16">
      <c r="A60" t="s">
        <v>33</v>
      </c>
      <c r="B60" t="s">
        <v>99</v>
      </c>
      <c r="C60">
        <v>2191890</v>
      </c>
      <c r="D60">
        <v>2787255</v>
      </c>
      <c r="E60">
        <v>2003830</v>
      </c>
      <c r="F60">
        <v>2372554</v>
      </c>
      <c r="G60">
        <v>2674027</v>
      </c>
      <c r="H60">
        <v>2942651</v>
      </c>
      <c r="I60">
        <v>3159414</v>
      </c>
      <c r="J60">
        <v>3469303</v>
      </c>
      <c r="K60">
        <v>4609113</v>
      </c>
      <c r="L60">
        <v>5624236</v>
      </c>
      <c r="M60">
        <v>6590543</v>
      </c>
      <c r="N60">
        <v>7914283</v>
      </c>
      <c r="O60">
        <v>10051777</v>
      </c>
      <c r="P60">
        <v>12538321</v>
      </c>
    </row>
    <row r="61" spans="1:16">
      <c r="A61" t="s">
        <v>4</v>
      </c>
      <c r="B61" t="s">
        <v>99</v>
      </c>
      <c r="C61">
        <v>5627211</v>
      </c>
      <c r="D61">
        <v>9590933</v>
      </c>
      <c r="E61">
        <v>10916734</v>
      </c>
      <c r="F61">
        <v>24468044</v>
      </c>
      <c r="G61">
        <v>30835472</v>
      </c>
      <c r="H61">
        <v>34875392</v>
      </c>
      <c r="I61">
        <v>39192964</v>
      </c>
      <c r="J61">
        <v>48317380</v>
      </c>
      <c r="K61">
        <v>61464688</v>
      </c>
      <c r="L61">
        <v>72806510</v>
      </c>
      <c r="M61">
        <v>88613094</v>
      </c>
      <c r="N61">
        <v>101465266</v>
      </c>
      <c r="O61">
        <v>114773158</v>
      </c>
      <c r="P61">
        <v>129263751</v>
      </c>
    </row>
    <row r="62" spans="1:16">
      <c r="A62" t="s">
        <v>34</v>
      </c>
      <c r="B62" t="s">
        <v>99</v>
      </c>
      <c r="C62">
        <v>245855</v>
      </c>
      <c r="D62">
        <v>287429</v>
      </c>
      <c r="E62">
        <v>346995</v>
      </c>
      <c r="F62">
        <v>363255</v>
      </c>
      <c r="G62">
        <v>392308</v>
      </c>
      <c r="H62">
        <v>444784</v>
      </c>
      <c r="I62">
        <v>546300</v>
      </c>
      <c r="J62">
        <v>853979</v>
      </c>
      <c r="K62">
        <v>1365252</v>
      </c>
      <c r="L62">
        <v>1494343</v>
      </c>
      <c r="M62">
        <v>1517598</v>
      </c>
      <c r="N62">
        <v>1589846</v>
      </c>
      <c r="O62">
        <v>1726512</v>
      </c>
      <c r="P62">
        <v>1968919</v>
      </c>
    </row>
    <row r="63" spans="1:16">
      <c r="A63" t="s">
        <v>35</v>
      </c>
      <c r="B63" t="s">
        <v>99</v>
      </c>
      <c r="C63">
        <v>4557358</v>
      </c>
      <c r="D63">
        <v>5456679</v>
      </c>
      <c r="E63">
        <v>6750138</v>
      </c>
      <c r="F63">
        <v>7244877</v>
      </c>
      <c r="G63">
        <v>8418816</v>
      </c>
      <c r="H63">
        <v>9109993</v>
      </c>
      <c r="I63">
        <v>10165991</v>
      </c>
      <c r="J63">
        <v>11983114</v>
      </c>
      <c r="K63">
        <v>17239192</v>
      </c>
      <c r="L63">
        <v>22274612</v>
      </c>
      <c r="M63">
        <v>27581958</v>
      </c>
      <c r="N63">
        <v>32502998</v>
      </c>
      <c r="O63">
        <v>44038575</v>
      </c>
      <c r="P63">
        <v>54940101</v>
      </c>
    </row>
    <row r="64" spans="1:16">
      <c r="A64" t="s">
        <v>36</v>
      </c>
      <c r="B64" t="s">
        <v>99</v>
      </c>
      <c r="C64">
        <v>1547938</v>
      </c>
      <c r="D64">
        <v>1775951</v>
      </c>
      <c r="E64">
        <v>2032705</v>
      </c>
      <c r="F64">
        <v>2264467</v>
      </c>
      <c r="G64">
        <v>2615819</v>
      </c>
      <c r="H64">
        <v>3166732</v>
      </c>
      <c r="I64">
        <v>3567192</v>
      </c>
      <c r="J64">
        <v>4423835</v>
      </c>
      <c r="K64">
        <v>4804994</v>
      </c>
      <c r="L64">
        <v>5564376</v>
      </c>
      <c r="M64">
        <v>6351815</v>
      </c>
      <c r="N64">
        <v>7541159</v>
      </c>
      <c r="O64">
        <v>9981876</v>
      </c>
      <c r="P64">
        <v>12706443</v>
      </c>
    </row>
    <row r="65" spans="1:16">
      <c r="A65" t="s">
        <v>37</v>
      </c>
      <c r="B65" t="s">
        <v>99</v>
      </c>
      <c r="C65">
        <v>1243538</v>
      </c>
      <c r="D65">
        <v>1345216</v>
      </c>
      <c r="E65">
        <v>1683308</v>
      </c>
      <c r="F65">
        <v>1936477</v>
      </c>
      <c r="G65">
        <v>2461749</v>
      </c>
      <c r="H65">
        <v>3033107</v>
      </c>
      <c r="I65">
        <v>3598192</v>
      </c>
      <c r="J65">
        <v>4172033</v>
      </c>
      <c r="K65">
        <v>5483414</v>
      </c>
      <c r="L65">
        <v>7037950</v>
      </c>
      <c r="M65">
        <v>8535392</v>
      </c>
      <c r="N65">
        <v>9968451</v>
      </c>
      <c r="O65">
        <v>11682499</v>
      </c>
      <c r="P65">
        <v>13797526</v>
      </c>
    </row>
    <row r="66" spans="1:16">
      <c r="A66" t="s">
        <v>38</v>
      </c>
      <c r="B66" t="s">
        <v>99</v>
      </c>
      <c r="C66">
        <v>10695196</v>
      </c>
      <c r="D66">
        <v>11181282</v>
      </c>
      <c r="E66">
        <v>14339626</v>
      </c>
      <c r="F66">
        <v>15293452</v>
      </c>
      <c r="G66">
        <v>19161368</v>
      </c>
      <c r="H66">
        <v>22612360</v>
      </c>
      <c r="I66">
        <v>26664386</v>
      </c>
      <c r="J66">
        <v>32944442</v>
      </c>
      <c r="K66">
        <v>42719744</v>
      </c>
      <c r="L66">
        <v>49982799</v>
      </c>
      <c r="M66">
        <v>57013908</v>
      </c>
      <c r="N66">
        <v>64576227</v>
      </c>
      <c r="O66">
        <v>73732184</v>
      </c>
      <c r="P66">
        <v>87114254</v>
      </c>
    </row>
    <row r="67" spans="1:16">
      <c r="A67" t="s">
        <v>39</v>
      </c>
      <c r="B67" t="s">
        <v>99</v>
      </c>
      <c r="C67">
        <v>4685995</v>
      </c>
      <c r="D67">
        <v>5165124</v>
      </c>
      <c r="E67">
        <v>5678296</v>
      </c>
      <c r="F67">
        <v>6165721</v>
      </c>
      <c r="G67">
        <v>6752576</v>
      </c>
      <c r="H67">
        <v>8053485</v>
      </c>
      <c r="I67">
        <v>9408084</v>
      </c>
      <c r="J67">
        <v>10453661</v>
      </c>
      <c r="K67">
        <v>12613711</v>
      </c>
      <c r="L67">
        <v>14177270</v>
      </c>
      <c r="M67">
        <v>17033874</v>
      </c>
      <c r="N67">
        <v>20040059</v>
      </c>
      <c r="O67">
        <v>22296621</v>
      </c>
      <c r="P67">
        <v>25170434</v>
      </c>
    </row>
    <row r="68" spans="1:16">
      <c r="A68" t="s">
        <v>40</v>
      </c>
      <c r="B68" t="s">
        <v>99</v>
      </c>
      <c r="C68">
        <v>7659206</v>
      </c>
      <c r="D68">
        <v>8793414</v>
      </c>
      <c r="E68">
        <v>9796863</v>
      </c>
      <c r="F68">
        <v>11253989</v>
      </c>
      <c r="G68">
        <v>13703645</v>
      </c>
      <c r="H68">
        <v>16423004</v>
      </c>
      <c r="I68">
        <v>20691418</v>
      </c>
      <c r="J68">
        <v>24601414</v>
      </c>
      <c r="K68">
        <v>29373718</v>
      </c>
      <c r="L68">
        <v>31453571</v>
      </c>
      <c r="M68">
        <v>37049634</v>
      </c>
      <c r="N68">
        <v>44975659</v>
      </c>
      <c r="O68">
        <v>53366531</v>
      </c>
      <c r="P68">
        <v>63898556</v>
      </c>
    </row>
    <row r="69" spans="1:16">
      <c r="A69" t="s">
        <v>41</v>
      </c>
      <c r="B69" t="s">
        <v>99</v>
      </c>
      <c r="C69">
        <v>1746800</v>
      </c>
      <c r="D69">
        <v>1984808</v>
      </c>
      <c r="E69">
        <v>2193217</v>
      </c>
      <c r="F69">
        <v>2376640</v>
      </c>
      <c r="G69">
        <v>2564253</v>
      </c>
      <c r="H69">
        <v>3170846</v>
      </c>
      <c r="I69">
        <v>4118438</v>
      </c>
      <c r="J69">
        <v>5527753</v>
      </c>
      <c r="K69">
        <v>7688341</v>
      </c>
      <c r="L69">
        <v>8961668</v>
      </c>
      <c r="M69">
        <v>9451648</v>
      </c>
      <c r="N69">
        <v>11130951</v>
      </c>
      <c r="O69">
        <v>12566704</v>
      </c>
      <c r="P69">
        <v>13538908</v>
      </c>
    </row>
    <row r="70" spans="1:16">
      <c r="A70" t="s">
        <v>3</v>
      </c>
      <c r="B70" t="s">
        <v>100</v>
      </c>
      <c r="C70" s="1">
        <v>25582296</v>
      </c>
      <c r="D70" s="1">
        <v>26115780</v>
      </c>
      <c r="E70" s="1">
        <v>26330214</v>
      </c>
      <c r="F70" s="1">
        <v>29174280</v>
      </c>
      <c r="G70" s="1">
        <v>28500474</v>
      </c>
      <c r="H70" s="1">
        <v>30444744</v>
      </c>
      <c r="I70" s="1">
        <v>26520410</v>
      </c>
      <c r="J70" s="1">
        <v>30157206</v>
      </c>
      <c r="K70" s="1">
        <v>29071122</v>
      </c>
      <c r="L70" s="1">
        <v>21051443.239999998</v>
      </c>
      <c r="M70" s="1">
        <v>19470070.75</v>
      </c>
      <c r="N70" s="1">
        <v>20737388.710000001</v>
      </c>
      <c r="O70" s="1">
        <v>21765901.899999999</v>
      </c>
      <c r="P70" s="1">
        <v>21951706.629999999</v>
      </c>
    </row>
    <row r="71" spans="1:16">
      <c r="A71" t="s">
        <v>11</v>
      </c>
      <c r="B71" t="s">
        <v>100</v>
      </c>
      <c r="C71" s="1">
        <v>8294476</v>
      </c>
      <c r="D71" s="1">
        <v>9359860</v>
      </c>
      <c r="E71" s="1">
        <v>10678118</v>
      </c>
      <c r="F71" s="1">
        <v>11817427</v>
      </c>
      <c r="G71" s="1">
        <v>21208550</v>
      </c>
      <c r="H71" s="1">
        <v>24791762</v>
      </c>
      <c r="I71" s="1">
        <v>27864402</v>
      </c>
      <c r="J71" s="1">
        <v>31131770</v>
      </c>
      <c r="K71" s="1">
        <v>39026748</v>
      </c>
      <c r="L71" s="1">
        <v>51389852.659999996</v>
      </c>
      <c r="M71" s="1">
        <v>66368495.460000001</v>
      </c>
      <c r="N71" s="1">
        <v>75195299.829999998</v>
      </c>
      <c r="O71" s="1">
        <v>88704319.590000004</v>
      </c>
      <c r="P71" s="1">
        <v>108279019.64</v>
      </c>
    </row>
    <row r="72" spans="1:16">
      <c r="A72" t="s">
        <v>10</v>
      </c>
      <c r="B72" t="s">
        <v>100</v>
      </c>
      <c r="C72" s="1">
        <v>30219572</v>
      </c>
      <c r="D72" s="1">
        <v>32719154</v>
      </c>
      <c r="E72" s="1">
        <v>36898864</v>
      </c>
      <c r="F72" s="1">
        <v>41170440</v>
      </c>
      <c r="G72" s="1">
        <v>46650260</v>
      </c>
      <c r="H72" s="1">
        <v>53298572</v>
      </c>
      <c r="I72" s="1">
        <v>64158596</v>
      </c>
      <c r="J72" s="1">
        <v>64954896</v>
      </c>
      <c r="K72" s="1">
        <v>115245976</v>
      </c>
      <c r="L72" s="1">
        <v>110935176.2</v>
      </c>
      <c r="M72" s="1">
        <v>131561134.90000001</v>
      </c>
      <c r="N72" s="1">
        <v>160531204.13999999</v>
      </c>
      <c r="O72" s="1">
        <v>182897135.65000001</v>
      </c>
      <c r="P72" s="1">
        <v>218349979.75</v>
      </c>
    </row>
    <row r="73" spans="1:16">
      <c r="A73" t="s">
        <v>6</v>
      </c>
      <c r="B73" t="s">
        <v>100</v>
      </c>
      <c r="C73" s="1">
        <v>1490196</v>
      </c>
      <c r="D73" s="1">
        <v>1656919</v>
      </c>
      <c r="E73" s="1">
        <v>1880770</v>
      </c>
      <c r="F73" s="1">
        <v>2193892</v>
      </c>
      <c r="G73" s="1">
        <v>2605765</v>
      </c>
      <c r="H73" s="1">
        <v>3267797</v>
      </c>
      <c r="I73" s="1">
        <v>3638159</v>
      </c>
      <c r="J73" s="1">
        <v>3996384</v>
      </c>
      <c r="K73" s="1">
        <v>4646292</v>
      </c>
      <c r="L73" s="1">
        <v>4406052.8099999996</v>
      </c>
      <c r="M73" s="1">
        <v>5954668.9800000004</v>
      </c>
      <c r="N73" s="1">
        <v>7092679.3600000003</v>
      </c>
      <c r="O73" s="1">
        <v>7665379.9400000004</v>
      </c>
      <c r="P73" s="1">
        <v>8069068.6500000004</v>
      </c>
    </row>
    <row r="74" spans="1:16">
      <c r="A74" t="s">
        <v>9</v>
      </c>
      <c r="B74" t="s">
        <v>100</v>
      </c>
      <c r="C74" s="1">
        <v>5360059</v>
      </c>
      <c r="D74" s="1">
        <v>6319280</v>
      </c>
      <c r="E74" s="1">
        <v>6918336</v>
      </c>
      <c r="F74" s="1">
        <v>7535142</v>
      </c>
      <c r="G74" s="1">
        <v>8347720</v>
      </c>
      <c r="H74" s="1">
        <v>9985933</v>
      </c>
      <c r="I74" s="1">
        <v>10676446</v>
      </c>
      <c r="J74" s="1">
        <v>12595237</v>
      </c>
      <c r="K74" s="1">
        <v>14674509</v>
      </c>
      <c r="L74" s="1">
        <v>15989976.359999999</v>
      </c>
      <c r="M74" s="1">
        <v>17873356.75</v>
      </c>
      <c r="N74" s="1">
        <v>20145475.66</v>
      </c>
      <c r="O74" s="1">
        <v>23514835.300000001</v>
      </c>
      <c r="P74" s="1">
        <v>26907824.09</v>
      </c>
    </row>
    <row r="75" spans="1:16">
      <c r="A75" t="s">
        <v>8</v>
      </c>
      <c r="B75" t="s">
        <v>100</v>
      </c>
      <c r="C75" s="1">
        <v>136758976</v>
      </c>
      <c r="D75" s="1">
        <v>156306592</v>
      </c>
      <c r="E75" s="1">
        <v>179454064</v>
      </c>
      <c r="F75" s="1">
        <v>186011792</v>
      </c>
      <c r="G75" s="1">
        <v>233963584</v>
      </c>
      <c r="H75" s="1">
        <v>269357888</v>
      </c>
      <c r="I75" s="1">
        <v>290796544</v>
      </c>
      <c r="J75" s="1">
        <v>316819872</v>
      </c>
      <c r="K75" s="1">
        <v>366022112</v>
      </c>
      <c r="L75" s="1">
        <v>407218294.30000001</v>
      </c>
      <c r="M75" s="1">
        <v>452123464.19999999</v>
      </c>
      <c r="N75" s="1">
        <v>540935498.70000005</v>
      </c>
      <c r="O75" s="1">
        <v>620131702.29999995</v>
      </c>
      <c r="P75" s="1">
        <v>685382110.42999995</v>
      </c>
    </row>
    <row r="76" spans="1:16">
      <c r="A76" t="s">
        <v>12</v>
      </c>
      <c r="B76" t="s">
        <v>100</v>
      </c>
      <c r="C76" s="1">
        <v>79441</v>
      </c>
      <c r="D76" s="1">
        <v>116182</v>
      </c>
      <c r="E76" s="1">
        <v>163127</v>
      </c>
      <c r="F76" s="1">
        <v>194306</v>
      </c>
      <c r="G76" s="1">
        <v>242622</v>
      </c>
      <c r="H76" s="1">
        <v>331454</v>
      </c>
      <c r="I76" s="1">
        <v>382491</v>
      </c>
      <c r="J76" s="1">
        <v>467699</v>
      </c>
      <c r="K76" s="1">
        <v>589500</v>
      </c>
      <c r="L76" s="1">
        <v>690901.46</v>
      </c>
      <c r="M76" s="1">
        <v>780941.38</v>
      </c>
      <c r="N76" s="1">
        <v>746812.48</v>
      </c>
      <c r="O76" s="1">
        <v>895218.51</v>
      </c>
      <c r="P76" s="1">
        <v>687108.47</v>
      </c>
    </row>
    <row r="77" spans="1:16">
      <c r="A77" t="s">
        <v>5</v>
      </c>
      <c r="B77" t="s">
        <v>100</v>
      </c>
      <c r="C77" s="1">
        <v>4462739</v>
      </c>
      <c r="D77" s="1">
        <v>5169149</v>
      </c>
      <c r="E77" s="1">
        <v>5679229</v>
      </c>
      <c r="F77" s="1">
        <v>6072951</v>
      </c>
      <c r="G77" s="1">
        <v>6616664</v>
      </c>
      <c r="H77" s="1">
        <v>7811558</v>
      </c>
      <c r="I77" s="1">
        <v>10578419</v>
      </c>
      <c r="J77" s="1">
        <v>15797612</v>
      </c>
      <c r="K77" s="1">
        <v>23582886</v>
      </c>
      <c r="L77" s="1">
        <v>21419282.469999999</v>
      </c>
      <c r="M77" s="1">
        <v>28100506.440000001</v>
      </c>
      <c r="N77" s="1">
        <v>35365599.390000001</v>
      </c>
      <c r="O77" s="1">
        <v>34996723.770000003</v>
      </c>
      <c r="P77" s="1">
        <v>37652024.07</v>
      </c>
    </row>
    <row r="78" spans="1:16">
      <c r="A78" t="s">
        <v>21</v>
      </c>
      <c r="B78" t="s">
        <v>100</v>
      </c>
      <c r="C78" s="1">
        <v>82923328</v>
      </c>
      <c r="D78" s="1">
        <v>103114296</v>
      </c>
      <c r="E78" s="1">
        <v>140577520</v>
      </c>
      <c r="F78" s="1">
        <v>158459840</v>
      </c>
      <c r="G78" s="1">
        <v>183291456</v>
      </c>
      <c r="H78" s="1">
        <v>208750736</v>
      </c>
      <c r="I78" s="1">
        <v>224097264</v>
      </c>
      <c r="J78" s="1">
        <v>231448784</v>
      </c>
      <c r="K78" s="1">
        <v>257815104</v>
      </c>
      <c r="L78" s="1">
        <v>245218479.80000001</v>
      </c>
      <c r="M78" s="1">
        <v>274297190.39999998</v>
      </c>
      <c r="N78" s="1">
        <v>305330655</v>
      </c>
      <c r="O78" s="1">
        <v>340280727.19999999</v>
      </c>
      <c r="P78" s="1">
        <v>389418174.94999999</v>
      </c>
    </row>
    <row r="79" spans="1:16">
      <c r="A79" t="s">
        <v>22</v>
      </c>
      <c r="B79" t="s">
        <v>100</v>
      </c>
      <c r="C79" s="1">
        <v>75021104</v>
      </c>
      <c r="D79" s="1">
        <v>85431568</v>
      </c>
      <c r="E79" s="1">
        <v>82988040</v>
      </c>
      <c r="F79" s="1">
        <v>97441288</v>
      </c>
      <c r="G79" s="1">
        <v>107474720</v>
      </c>
      <c r="H79" s="1">
        <v>115976896</v>
      </c>
      <c r="I79" s="1">
        <v>121075424</v>
      </c>
      <c r="J79" s="1">
        <v>146187664</v>
      </c>
      <c r="K79" s="1">
        <v>182147488</v>
      </c>
      <c r="L79" s="1">
        <v>177695969.90000001</v>
      </c>
      <c r="M79" s="1">
        <v>200745545.90000001</v>
      </c>
      <c r="N79" s="1">
        <v>222913601.11000001</v>
      </c>
      <c r="O79" s="1">
        <v>260406060</v>
      </c>
      <c r="P79" s="1">
        <v>297369726.35000002</v>
      </c>
    </row>
    <row r="80" spans="1:16">
      <c r="A80" t="s">
        <v>23</v>
      </c>
      <c r="B80" t="s">
        <v>100</v>
      </c>
      <c r="C80" s="1">
        <v>109406272</v>
      </c>
      <c r="D80" s="1">
        <v>124059328</v>
      </c>
      <c r="E80" s="1">
        <v>124623208</v>
      </c>
      <c r="F80" s="1">
        <v>136374608</v>
      </c>
      <c r="G80" s="1">
        <v>153549808</v>
      </c>
      <c r="H80" s="1">
        <v>183945168</v>
      </c>
      <c r="I80" s="1">
        <v>211288032</v>
      </c>
      <c r="J80" s="1">
        <v>239677664</v>
      </c>
      <c r="K80" s="1">
        <v>274937728</v>
      </c>
      <c r="L80" s="1">
        <v>317540836.10000002</v>
      </c>
      <c r="M80" s="1">
        <v>375176408</v>
      </c>
      <c r="N80" s="1">
        <v>444748139.69999999</v>
      </c>
      <c r="O80" s="1">
        <v>523658648.89999998</v>
      </c>
      <c r="P80" s="1">
        <v>585517210.50999999</v>
      </c>
    </row>
    <row r="81" spans="1:16">
      <c r="A81" t="s">
        <v>24</v>
      </c>
      <c r="B81" t="s">
        <v>100</v>
      </c>
      <c r="C81" s="1">
        <v>7690147</v>
      </c>
      <c r="D81" s="1">
        <v>8301909</v>
      </c>
      <c r="E81" s="1">
        <v>7893433</v>
      </c>
      <c r="F81" s="1">
        <v>8647806</v>
      </c>
      <c r="G81" s="1">
        <v>9823605</v>
      </c>
      <c r="H81" s="1">
        <v>10005016</v>
      </c>
      <c r="I81" s="1">
        <v>11313391</v>
      </c>
      <c r="J81" s="1">
        <v>11710695</v>
      </c>
      <c r="K81" s="1">
        <v>14772730</v>
      </c>
      <c r="L81" s="1">
        <v>11379467.17</v>
      </c>
      <c r="M81" s="1">
        <v>13992821.66</v>
      </c>
      <c r="N81" s="1">
        <v>17026781.02</v>
      </c>
      <c r="O81" s="1">
        <v>18392224.899999999</v>
      </c>
      <c r="P81" s="1">
        <v>20831079.309999999</v>
      </c>
    </row>
    <row r="82" spans="1:16">
      <c r="A82" t="s">
        <v>25</v>
      </c>
      <c r="B82" t="s">
        <v>100</v>
      </c>
      <c r="C82" s="1">
        <v>9730580</v>
      </c>
      <c r="D82" s="1">
        <v>10664019</v>
      </c>
      <c r="E82" s="1">
        <v>11630854</v>
      </c>
      <c r="F82" s="1">
        <v>12639030</v>
      </c>
      <c r="G82" s="1">
        <v>14374411</v>
      </c>
      <c r="H82" s="1">
        <v>21040130</v>
      </c>
      <c r="I82" s="1">
        <v>21583376</v>
      </c>
      <c r="J82" s="1">
        <v>25595126</v>
      </c>
      <c r="K82" s="1">
        <v>31524498</v>
      </c>
      <c r="L82" s="1">
        <v>35620491.939999998</v>
      </c>
      <c r="M82" s="1">
        <v>44927518.32</v>
      </c>
      <c r="N82" s="1">
        <v>49244474.299999997</v>
      </c>
      <c r="O82" s="1">
        <v>49228986.390000001</v>
      </c>
      <c r="P82" s="1">
        <v>48985181.270000003</v>
      </c>
    </row>
    <row r="83" spans="1:16">
      <c r="A83" t="s">
        <v>26</v>
      </c>
      <c r="B83" t="s">
        <v>100</v>
      </c>
      <c r="C83" s="1">
        <v>3883040</v>
      </c>
      <c r="D83" s="1">
        <v>4331703</v>
      </c>
      <c r="E83" s="1">
        <v>4600135</v>
      </c>
      <c r="F83" s="1">
        <v>5206277</v>
      </c>
      <c r="G83" s="1">
        <v>5707450</v>
      </c>
      <c r="H83" s="1">
        <v>7058767</v>
      </c>
      <c r="I83" s="1">
        <v>8422187</v>
      </c>
      <c r="J83" s="1">
        <v>9130426</v>
      </c>
      <c r="K83" s="1">
        <v>11520681</v>
      </c>
      <c r="L83" s="1">
        <v>14139878.789999999</v>
      </c>
      <c r="M83" s="1">
        <v>18593700</v>
      </c>
      <c r="N83" s="1">
        <v>22058288.5</v>
      </c>
      <c r="O83" s="1">
        <v>23931423.93</v>
      </c>
      <c r="P83" s="1">
        <v>29122241.899999999</v>
      </c>
    </row>
    <row r="84" spans="1:16">
      <c r="A84" t="s">
        <v>27</v>
      </c>
      <c r="B84" t="s">
        <v>100</v>
      </c>
      <c r="C84" s="1">
        <v>91914888</v>
      </c>
      <c r="D84" s="1">
        <v>101605368</v>
      </c>
      <c r="E84" s="1">
        <v>97320072</v>
      </c>
      <c r="F84" s="1">
        <v>107421056</v>
      </c>
      <c r="G84" s="1">
        <v>138844560</v>
      </c>
      <c r="H84" s="1">
        <v>193360064</v>
      </c>
      <c r="I84" s="1">
        <v>220474960</v>
      </c>
      <c r="J84" s="1">
        <v>241420400</v>
      </c>
      <c r="K84" s="1">
        <v>336501536</v>
      </c>
      <c r="L84" s="1">
        <v>305644200.69999999</v>
      </c>
      <c r="M84" s="1">
        <v>352549402.39999998</v>
      </c>
      <c r="N84" s="1">
        <v>432186718.87</v>
      </c>
      <c r="O84" s="1">
        <v>500435337.87</v>
      </c>
      <c r="P84" s="1">
        <v>545523546.29999995</v>
      </c>
    </row>
    <row r="85" spans="1:16">
      <c r="A85" t="s">
        <v>46</v>
      </c>
      <c r="B85" t="s">
        <v>100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t="s">
        <v>28</v>
      </c>
      <c r="B86" t="s">
        <v>100</v>
      </c>
      <c r="C86" s="1">
        <v>3077644</v>
      </c>
      <c r="D86" s="1">
        <v>3813274</v>
      </c>
      <c r="E86" s="1">
        <v>3364406</v>
      </c>
      <c r="F86" s="1">
        <v>3599161</v>
      </c>
      <c r="G86" s="1">
        <v>10737583</v>
      </c>
      <c r="H86" s="1">
        <v>13407583</v>
      </c>
      <c r="I86" s="1">
        <v>15217583</v>
      </c>
      <c r="J86" s="1">
        <v>16637174</v>
      </c>
      <c r="K86" s="1">
        <v>16953858</v>
      </c>
      <c r="L86" s="1">
        <v>16738629.01</v>
      </c>
      <c r="M86" s="1">
        <v>17738992.91</v>
      </c>
      <c r="N86" s="1">
        <v>18475265.98</v>
      </c>
      <c r="O86" s="1">
        <v>19438957.129999999</v>
      </c>
      <c r="P86" s="1">
        <v>21255982.129999999</v>
      </c>
    </row>
    <row r="87" spans="1:16">
      <c r="A87" t="s">
        <v>29</v>
      </c>
      <c r="B87" t="s">
        <v>100</v>
      </c>
      <c r="C87" s="1">
        <v>41242119.777433246</v>
      </c>
      <c r="D87" s="1">
        <v>66695587.559949152</v>
      </c>
      <c r="E87" s="1">
        <v>56752456.956459351</v>
      </c>
      <c r="F87" s="1">
        <v>35557860</v>
      </c>
      <c r="G87" s="1">
        <v>38727024</v>
      </c>
      <c r="H87" s="1">
        <v>40597552</v>
      </c>
      <c r="I87" s="1">
        <v>43274652</v>
      </c>
      <c r="J87" s="1">
        <v>55241580</v>
      </c>
      <c r="K87" s="1">
        <v>60169288</v>
      </c>
      <c r="L87" s="1">
        <v>69484346.519999996</v>
      </c>
      <c r="M87" s="1">
        <v>81410818.370000005</v>
      </c>
      <c r="N87" s="1">
        <v>87602389.519999996</v>
      </c>
      <c r="O87" s="1">
        <v>100882902.36</v>
      </c>
      <c r="P87" s="1">
        <v>109599310.5</v>
      </c>
    </row>
    <row r="88" spans="1:16">
      <c r="A88" t="s">
        <v>7</v>
      </c>
      <c r="B88" t="s">
        <v>100</v>
      </c>
      <c r="C88" s="1">
        <v>10308459</v>
      </c>
      <c r="D88" s="1">
        <v>9532442</v>
      </c>
      <c r="E88" s="1">
        <v>10947700</v>
      </c>
      <c r="F88" s="1">
        <v>12870669</v>
      </c>
      <c r="G88" s="1">
        <v>12836383</v>
      </c>
      <c r="H88" s="1">
        <v>16965478</v>
      </c>
      <c r="I88" s="1">
        <v>19699202</v>
      </c>
      <c r="J88" s="1">
        <v>23779604</v>
      </c>
      <c r="K88" s="1">
        <v>39910244</v>
      </c>
      <c r="L88" s="1">
        <v>38809589.380000003</v>
      </c>
      <c r="M88" s="1">
        <v>45457305.020000003</v>
      </c>
      <c r="N88" s="1">
        <v>54606538.07</v>
      </c>
      <c r="O88" s="1">
        <v>64941270.850000001</v>
      </c>
      <c r="P88" s="1">
        <v>69508570.239999995</v>
      </c>
    </row>
    <row r="89" spans="1:16">
      <c r="A89" t="s">
        <v>13</v>
      </c>
      <c r="B89" t="s">
        <v>100</v>
      </c>
      <c r="C89" s="1">
        <v>412431</v>
      </c>
      <c r="D89" s="1">
        <v>652194</v>
      </c>
      <c r="E89" s="1">
        <v>686523</v>
      </c>
      <c r="F89" s="1">
        <v>1082970</v>
      </c>
      <c r="G89" s="1">
        <v>1172972</v>
      </c>
      <c r="H89" s="1">
        <v>1260248</v>
      </c>
      <c r="I89" s="1">
        <v>1414782</v>
      </c>
      <c r="J89" s="1">
        <v>1609053</v>
      </c>
      <c r="K89" s="1">
        <v>1855563</v>
      </c>
      <c r="L89" s="1">
        <v>1934959.35</v>
      </c>
      <c r="M89" s="1">
        <v>2230059.0099999998</v>
      </c>
      <c r="N89" s="1">
        <v>2458562.31</v>
      </c>
      <c r="O89" s="1">
        <v>2668356.35</v>
      </c>
      <c r="P89" s="1">
        <v>2873586.65</v>
      </c>
    </row>
    <row r="90" spans="1:16">
      <c r="A90" t="s">
        <v>30</v>
      </c>
      <c r="B90" t="s">
        <v>100</v>
      </c>
      <c r="C90" s="1">
        <v>658379</v>
      </c>
      <c r="D90" s="1">
        <v>789073</v>
      </c>
      <c r="E90" s="1">
        <v>981565</v>
      </c>
      <c r="F90" s="1">
        <v>862467</v>
      </c>
      <c r="G90" s="1">
        <v>954785</v>
      </c>
      <c r="H90" s="1">
        <v>1051455</v>
      </c>
      <c r="I90" s="1">
        <v>1128431</v>
      </c>
      <c r="J90" s="1">
        <v>1330225</v>
      </c>
      <c r="K90" s="1">
        <v>1387048</v>
      </c>
      <c r="L90" s="1">
        <v>1359942.14</v>
      </c>
      <c r="M90" s="1">
        <v>1559669.24</v>
      </c>
      <c r="N90" s="1">
        <v>1627655.82</v>
      </c>
      <c r="O90" s="1">
        <v>1752671.74</v>
      </c>
      <c r="P90" s="1">
        <v>1895614.45</v>
      </c>
    </row>
    <row r="91" spans="1:16">
      <c r="A91" t="s">
        <v>31</v>
      </c>
      <c r="B91" t="s">
        <v>100</v>
      </c>
      <c r="C91" s="1">
        <v>4805512</v>
      </c>
      <c r="D91" s="1">
        <v>6695589</v>
      </c>
      <c r="E91" s="1">
        <v>6920011</v>
      </c>
      <c r="F91" s="1">
        <v>6637653</v>
      </c>
      <c r="G91" s="1">
        <v>10167133</v>
      </c>
      <c r="H91" s="1">
        <v>13449020</v>
      </c>
      <c r="I91" s="1">
        <v>13603797</v>
      </c>
      <c r="J91" s="1">
        <v>14111164</v>
      </c>
      <c r="K91" s="1">
        <v>11423354</v>
      </c>
      <c r="L91" s="1">
        <v>14450410.300000001</v>
      </c>
      <c r="M91" s="1">
        <v>17951412.34</v>
      </c>
      <c r="N91" s="1">
        <v>15785017.35</v>
      </c>
      <c r="O91" s="1">
        <v>13576921.59</v>
      </c>
      <c r="P91" s="1">
        <v>11945316.98</v>
      </c>
    </row>
    <row r="92" spans="1:16">
      <c r="A92" t="s">
        <v>32</v>
      </c>
      <c r="B92" t="s">
        <v>100</v>
      </c>
      <c r="C92" s="1">
        <v>1617720</v>
      </c>
      <c r="D92" s="1">
        <v>2467679</v>
      </c>
      <c r="E92" s="1">
        <v>2851853</v>
      </c>
      <c r="F92" s="1">
        <v>3078702</v>
      </c>
      <c r="G92" s="1">
        <v>2461273</v>
      </c>
      <c r="H92" s="1">
        <v>2651697</v>
      </c>
      <c r="I92" s="1">
        <v>4059393</v>
      </c>
      <c r="J92" s="1">
        <v>4119844</v>
      </c>
      <c r="K92" s="1">
        <v>4530480</v>
      </c>
      <c r="L92" s="1">
        <v>4887824.08</v>
      </c>
      <c r="M92" s="1">
        <v>5331313.63</v>
      </c>
      <c r="N92" s="1">
        <v>5855950.1100000003</v>
      </c>
      <c r="O92" s="1">
        <v>6423290</v>
      </c>
      <c r="P92" s="1">
        <v>7269478.4800000004</v>
      </c>
    </row>
    <row r="93" spans="1:16">
      <c r="A93" t="s">
        <v>14</v>
      </c>
      <c r="B93" t="s">
        <v>100</v>
      </c>
      <c r="C93" s="1">
        <v>14022876.422400415</v>
      </c>
      <c r="D93" s="1">
        <v>16954658.817371596</v>
      </c>
      <c r="E93" s="1">
        <v>16321562</v>
      </c>
      <c r="F93" s="1">
        <v>17147306</v>
      </c>
      <c r="G93" s="1">
        <v>14358633</v>
      </c>
      <c r="H93" s="1">
        <v>29027882</v>
      </c>
      <c r="I93" s="1">
        <v>41710688</v>
      </c>
      <c r="J93" s="1">
        <v>40886732</v>
      </c>
      <c r="K93" s="1">
        <v>46326028</v>
      </c>
      <c r="L93" s="1">
        <v>54357576.609999999</v>
      </c>
      <c r="M93" s="1">
        <v>61351509.850000001</v>
      </c>
      <c r="N93" s="1">
        <v>48494232.969999999</v>
      </c>
      <c r="O93" s="1">
        <v>36669409.5</v>
      </c>
      <c r="P93" s="1">
        <v>45104664.469999999</v>
      </c>
    </row>
    <row r="94" spans="1:16">
      <c r="A94" t="s">
        <v>33</v>
      </c>
      <c r="B94" t="s">
        <v>100</v>
      </c>
      <c r="C94" s="1">
        <v>2842261.5775995855</v>
      </c>
      <c r="D94" s="1">
        <v>3436497.1826284053</v>
      </c>
      <c r="E94" s="1">
        <v>3022451</v>
      </c>
      <c r="F94" s="1">
        <v>2801496</v>
      </c>
      <c r="G94" s="1">
        <v>3252552</v>
      </c>
      <c r="H94" s="1">
        <v>4862876</v>
      </c>
      <c r="I94" s="1">
        <v>6181914</v>
      </c>
      <c r="J94" s="1">
        <v>6416179</v>
      </c>
      <c r="K94" s="1">
        <v>6787165</v>
      </c>
      <c r="L94" s="1">
        <v>6683435.46</v>
      </c>
      <c r="M94" s="1">
        <v>12243061.039999999</v>
      </c>
      <c r="N94" s="1">
        <v>19217909.899999999</v>
      </c>
      <c r="O94" s="1">
        <v>20638457.850000001</v>
      </c>
      <c r="P94" s="1">
        <v>26304998.489999998</v>
      </c>
    </row>
    <row r="95" spans="1:16">
      <c r="A95" t="s">
        <v>4</v>
      </c>
      <c r="B95" t="s">
        <v>100</v>
      </c>
      <c r="C95" s="1">
        <v>13151920.222566754</v>
      </c>
      <c r="D95" s="1">
        <v>23596668.440050848</v>
      </c>
      <c r="E95" s="1">
        <v>22167231.043540649</v>
      </c>
      <c r="F95" s="1">
        <v>50828184</v>
      </c>
      <c r="G95" s="1">
        <v>62127136</v>
      </c>
      <c r="H95" s="1">
        <v>83217728</v>
      </c>
      <c r="I95" s="1">
        <v>93095352</v>
      </c>
      <c r="J95" s="1">
        <v>115487320</v>
      </c>
      <c r="K95" s="1">
        <v>167078240</v>
      </c>
      <c r="L95" s="1">
        <v>148820987.09999999</v>
      </c>
      <c r="M95" s="1">
        <v>158508103.41999999</v>
      </c>
      <c r="N95" s="1">
        <v>199529793.31</v>
      </c>
      <c r="O95" s="1">
        <v>219347073.38999999</v>
      </c>
      <c r="P95" s="1">
        <v>225322273.77000001</v>
      </c>
    </row>
    <row r="96" spans="1:16">
      <c r="A96" t="s">
        <v>34</v>
      </c>
      <c r="B96" t="s">
        <v>100</v>
      </c>
      <c r="C96" s="1">
        <v>295893.04067329725</v>
      </c>
      <c r="D96" s="1">
        <v>335832.1580941123</v>
      </c>
      <c r="E96" s="1">
        <v>302691.97597171541</v>
      </c>
      <c r="F96" s="1">
        <v>329803.59823695989</v>
      </c>
      <c r="G96" s="1">
        <v>561925</v>
      </c>
      <c r="H96" s="1">
        <v>600189</v>
      </c>
      <c r="I96" s="1">
        <v>692559</v>
      </c>
      <c r="J96" s="1">
        <v>879728</v>
      </c>
      <c r="K96" s="1">
        <v>1161544</v>
      </c>
      <c r="L96" s="1">
        <v>1385534.4</v>
      </c>
      <c r="M96" s="1">
        <v>1690288.71</v>
      </c>
      <c r="N96" s="1">
        <v>2415943.5299999998</v>
      </c>
      <c r="O96" s="1">
        <v>2632657.96</v>
      </c>
      <c r="P96" s="1">
        <v>3006632.69</v>
      </c>
    </row>
    <row r="97" spans="1:16">
      <c r="A97" t="s">
        <v>35</v>
      </c>
      <c r="B97" t="s">
        <v>100</v>
      </c>
      <c r="C97" s="1">
        <v>7776897.9593267031</v>
      </c>
      <c r="D97" s="1">
        <v>8826609.8419058882</v>
      </c>
      <c r="E97" s="1">
        <v>7955593.0240282845</v>
      </c>
      <c r="F97" s="1">
        <v>8668162.4017630406</v>
      </c>
      <c r="G97" s="1">
        <v>15052630</v>
      </c>
      <c r="H97" s="1">
        <v>18712936</v>
      </c>
      <c r="I97" s="1">
        <v>23539140</v>
      </c>
      <c r="J97" s="1">
        <v>32895836</v>
      </c>
      <c r="K97" s="1">
        <v>32153468</v>
      </c>
      <c r="L97" s="1">
        <v>28582418.219999999</v>
      </c>
      <c r="M97" s="1">
        <v>36426092.700000003</v>
      </c>
      <c r="N97" s="1">
        <v>30148742.66</v>
      </c>
      <c r="O97" s="1">
        <v>31821532.879999999</v>
      </c>
      <c r="P97" s="1">
        <v>37027694.359999999</v>
      </c>
    </row>
    <row r="98" spans="1:16">
      <c r="A98" t="s">
        <v>36</v>
      </c>
      <c r="B98" t="s">
        <v>100</v>
      </c>
      <c r="C98" s="1">
        <v>1530880</v>
      </c>
      <c r="D98" s="1">
        <v>1763487</v>
      </c>
      <c r="E98" s="1">
        <v>2026088</v>
      </c>
      <c r="F98" s="1">
        <v>2178394</v>
      </c>
      <c r="G98" s="1">
        <v>2336005</v>
      </c>
      <c r="H98" s="1">
        <v>2623530</v>
      </c>
      <c r="I98" s="1">
        <v>2955640</v>
      </c>
      <c r="J98" s="1">
        <v>3624890</v>
      </c>
      <c r="K98" s="1">
        <v>4545100</v>
      </c>
      <c r="L98" s="1">
        <v>5356502.04</v>
      </c>
      <c r="M98" s="1">
        <v>6410286</v>
      </c>
      <c r="N98" s="1">
        <v>7732904.5499999998</v>
      </c>
      <c r="O98" s="1">
        <v>9306645.7899999991</v>
      </c>
      <c r="P98" s="1">
        <v>10583857.76</v>
      </c>
    </row>
    <row r="99" spans="1:16">
      <c r="A99" t="s">
        <v>37</v>
      </c>
      <c r="B99" t="s">
        <v>100</v>
      </c>
      <c r="C99" s="1">
        <v>987942</v>
      </c>
      <c r="D99" s="1">
        <v>1206533</v>
      </c>
      <c r="E99" s="1">
        <v>1273036</v>
      </c>
      <c r="F99" s="1">
        <v>1448855</v>
      </c>
      <c r="G99" s="1">
        <v>1840256</v>
      </c>
      <c r="H99" s="1">
        <v>2157179</v>
      </c>
      <c r="I99" s="1">
        <v>4382123</v>
      </c>
      <c r="J99" s="1">
        <v>4932488</v>
      </c>
      <c r="K99" s="1">
        <v>5469119</v>
      </c>
      <c r="L99" s="1">
        <v>6603568.8600000003</v>
      </c>
      <c r="M99" s="1">
        <v>7953200.7400000002</v>
      </c>
      <c r="N99" s="1">
        <v>9193734.2400000002</v>
      </c>
      <c r="O99" s="1">
        <v>10373785.01</v>
      </c>
      <c r="P99" s="1">
        <v>10709952.810000001</v>
      </c>
    </row>
    <row r="100" spans="1:16">
      <c r="A100" t="s">
        <v>38</v>
      </c>
      <c r="B100" t="s">
        <v>100</v>
      </c>
      <c r="C100" s="1">
        <v>28453504</v>
      </c>
      <c r="D100" s="1">
        <v>35016020</v>
      </c>
      <c r="E100" s="1">
        <v>36780920</v>
      </c>
      <c r="F100" s="1">
        <v>38145456</v>
      </c>
      <c r="G100" s="1">
        <v>49486672</v>
      </c>
      <c r="H100" s="1">
        <v>59880944</v>
      </c>
      <c r="I100" s="1">
        <v>69832552</v>
      </c>
      <c r="J100" s="1">
        <v>76889688</v>
      </c>
      <c r="K100" s="1">
        <v>91689168</v>
      </c>
      <c r="L100" s="1">
        <v>92958921.060000002</v>
      </c>
      <c r="M100" s="1">
        <v>107849935.64</v>
      </c>
      <c r="N100" s="1">
        <v>136318535.97</v>
      </c>
      <c r="O100" s="1">
        <v>152706394.02000001</v>
      </c>
      <c r="P100" s="1">
        <v>170990157.66</v>
      </c>
    </row>
    <row r="101" spans="1:16">
      <c r="A101" t="s">
        <v>39</v>
      </c>
      <c r="B101" t="s">
        <v>100</v>
      </c>
      <c r="C101" s="1">
        <v>2719272</v>
      </c>
      <c r="D101" s="1">
        <v>2938157</v>
      </c>
      <c r="E101" s="1">
        <v>3639939</v>
      </c>
      <c r="F101" s="1">
        <v>4194762</v>
      </c>
      <c r="G101" s="1">
        <v>6075590</v>
      </c>
      <c r="H101" s="1">
        <v>8281198</v>
      </c>
      <c r="I101" s="1">
        <v>10975117</v>
      </c>
      <c r="J101" s="1">
        <v>15268346</v>
      </c>
      <c r="K101" s="1">
        <v>21398594</v>
      </c>
      <c r="L101" s="1">
        <v>19170237.280000001</v>
      </c>
      <c r="M101" s="1">
        <v>24150945</v>
      </c>
      <c r="N101" s="1">
        <v>28752903.629999999</v>
      </c>
      <c r="O101" s="1">
        <v>30814520.239999998</v>
      </c>
      <c r="P101" s="1">
        <v>32282598.399999999</v>
      </c>
    </row>
    <row r="102" spans="1:16">
      <c r="A102" t="s">
        <v>40</v>
      </c>
      <c r="B102" t="s">
        <v>100</v>
      </c>
      <c r="C102" s="1">
        <v>16070761</v>
      </c>
      <c r="D102" s="1">
        <v>17875204</v>
      </c>
      <c r="E102" s="1">
        <v>18823098</v>
      </c>
      <c r="F102" s="1">
        <v>21980722</v>
      </c>
      <c r="G102" s="1">
        <v>25915954</v>
      </c>
      <c r="H102" s="1">
        <v>30466384</v>
      </c>
      <c r="I102" s="1">
        <v>42225956</v>
      </c>
      <c r="J102" s="1">
        <v>44896828</v>
      </c>
      <c r="K102" s="1">
        <v>53033756</v>
      </c>
      <c r="L102" s="1">
        <v>46542953</v>
      </c>
      <c r="M102" s="1">
        <v>59772180.450000003</v>
      </c>
      <c r="N102" s="1">
        <v>75059013.700000003</v>
      </c>
      <c r="O102" s="1">
        <v>82021037.510000005</v>
      </c>
      <c r="P102" s="1">
        <v>92773996</v>
      </c>
    </row>
    <row r="103" spans="1:16">
      <c r="A103" t="s">
        <v>41</v>
      </c>
      <c r="B103" t="s">
        <v>100</v>
      </c>
      <c r="C103" s="1">
        <v>4402981</v>
      </c>
      <c r="D103" s="1">
        <v>4003861</v>
      </c>
      <c r="E103" s="1">
        <v>4149254</v>
      </c>
      <c r="F103" s="1">
        <v>4536082</v>
      </c>
      <c r="G103" s="1">
        <v>6430289</v>
      </c>
      <c r="H103" s="1">
        <v>6716979</v>
      </c>
      <c r="I103" s="1">
        <v>6528323</v>
      </c>
      <c r="J103" s="1">
        <v>8336278</v>
      </c>
      <c r="K103" s="1">
        <v>11281691</v>
      </c>
      <c r="L103" s="1">
        <v>12674247.07</v>
      </c>
      <c r="M103" s="1">
        <v>15784982</v>
      </c>
      <c r="N103" s="1">
        <v>16237574</v>
      </c>
      <c r="O103" s="1">
        <v>18804106.120000001</v>
      </c>
      <c r="P103" s="1">
        <v>19485644.09</v>
      </c>
    </row>
    <row r="104" spans="1:16">
      <c r="A104" t="s">
        <v>3</v>
      </c>
      <c r="B104" t="s">
        <v>101</v>
      </c>
      <c r="C104" s="1">
        <v>2929613</v>
      </c>
      <c r="D104" s="1">
        <v>3815936</v>
      </c>
      <c r="E104" s="1">
        <v>766306</v>
      </c>
      <c r="F104" s="1">
        <v>1483930</v>
      </c>
      <c r="G104" s="1">
        <v>1477679</v>
      </c>
      <c r="H104" s="1">
        <v>8702579</v>
      </c>
      <c r="I104" s="1">
        <v>1145363</v>
      </c>
      <c r="J104" s="1">
        <v>3158934</v>
      </c>
      <c r="K104" s="1">
        <v>5334438</v>
      </c>
      <c r="L104" s="1">
        <v>5949400.7999999998</v>
      </c>
      <c r="M104" s="1">
        <v>5658473.5499999998</v>
      </c>
      <c r="N104" s="1">
        <v>6619787.75</v>
      </c>
      <c r="O104" s="1">
        <v>7360774.3700000001</v>
      </c>
      <c r="P104" s="1">
        <v>7817349.7999999998</v>
      </c>
    </row>
    <row r="105" spans="1:16">
      <c r="A105" t="s">
        <v>11</v>
      </c>
      <c r="B105" t="s">
        <v>101</v>
      </c>
      <c r="C105" s="1">
        <v>4059477</v>
      </c>
      <c r="D105" s="1">
        <v>4491561</v>
      </c>
      <c r="E105" s="1">
        <v>4681635</v>
      </c>
      <c r="F105" s="1">
        <v>5202334</v>
      </c>
      <c r="G105" s="1">
        <v>14846492</v>
      </c>
      <c r="H105" s="1">
        <v>17558216</v>
      </c>
      <c r="I105" s="1">
        <v>18062592</v>
      </c>
      <c r="J105" s="1">
        <v>22646098</v>
      </c>
      <c r="K105" s="1">
        <v>29318340</v>
      </c>
      <c r="L105" s="1">
        <v>46067804.369999997</v>
      </c>
      <c r="M105" s="1">
        <v>64864972.509999998</v>
      </c>
      <c r="N105" s="1">
        <v>77644364.799999997</v>
      </c>
      <c r="O105" s="1">
        <v>94894910.180000007</v>
      </c>
      <c r="P105" s="1">
        <v>119384261.39</v>
      </c>
    </row>
    <row r="106" spans="1:16">
      <c r="A106" t="s">
        <v>10</v>
      </c>
      <c r="B106" t="s">
        <v>101</v>
      </c>
      <c r="C106" s="1">
        <v>25261524</v>
      </c>
      <c r="D106" s="1">
        <v>27710596</v>
      </c>
      <c r="E106" s="1">
        <v>31040848</v>
      </c>
      <c r="F106" s="1">
        <v>35136396</v>
      </c>
      <c r="G106" s="1">
        <v>40337084</v>
      </c>
      <c r="H106" s="1">
        <v>46238960</v>
      </c>
      <c r="I106" s="1">
        <v>54429764</v>
      </c>
      <c r="J106" s="1">
        <v>53568844</v>
      </c>
      <c r="K106" s="1">
        <v>85534928</v>
      </c>
      <c r="L106" s="1">
        <v>82635504.819999993</v>
      </c>
      <c r="M106" s="1">
        <v>100552823.2</v>
      </c>
      <c r="N106" s="1">
        <v>127088780.90000001</v>
      </c>
      <c r="O106" s="1">
        <v>151697096.19999999</v>
      </c>
      <c r="P106" s="1">
        <v>187070212.63</v>
      </c>
    </row>
    <row r="107" spans="1:16">
      <c r="A107" t="s">
        <v>6</v>
      </c>
      <c r="B107" t="s">
        <v>101</v>
      </c>
      <c r="C107" s="1">
        <v>733895</v>
      </c>
      <c r="D107" s="1">
        <v>788631</v>
      </c>
      <c r="E107" s="1">
        <v>854459</v>
      </c>
      <c r="F107" s="1">
        <v>945407</v>
      </c>
      <c r="G107" s="1">
        <v>1139371</v>
      </c>
      <c r="H107" s="1">
        <v>1478544</v>
      </c>
      <c r="I107" s="1">
        <v>1615429</v>
      </c>
      <c r="J107" s="1">
        <v>1802885</v>
      </c>
      <c r="K107" s="1">
        <v>1866719</v>
      </c>
      <c r="L107" s="1">
        <v>1923100.67</v>
      </c>
      <c r="M107" s="1">
        <v>2131702.84</v>
      </c>
      <c r="N107" s="1">
        <v>2602477.3199999998</v>
      </c>
      <c r="O107" s="1">
        <v>3269628.84</v>
      </c>
      <c r="P107" s="1">
        <v>3970072.69</v>
      </c>
    </row>
    <row r="108" spans="1:16">
      <c r="A108" t="s">
        <v>9</v>
      </c>
      <c r="B108" t="s">
        <v>101</v>
      </c>
      <c r="C108" s="1">
        <v>5251866</v>
      </c>
      <c r="D108" s="1">
        <v>6532340</v>
      </c>
      <c r="E108" s="1">
        <v>7195571</v>
      </c>
      <c r="F108" s="1">
        <v>8032061</v>
      </c>
      <c r="G108" s="1">
        <v>8994544</v>
      </c>
      <c r="H108" s="1">
        <v>11121602</v>
      </c>
      <c r="I108" s="1">
        <v>13458162</v>
      </c>
      <c r="J108" s="1">
        <v>16954420</v>
      </c>
      <c r="K108" s="1">
        <v>20770322</v>
      </c>
      <c r="L108" s="1">
        <v>22744584.190000001</v>
      </c>
      <c r="M108" s="1">
        <v>25087856.390000001</v>
      </c>
      <c r="N108" s="1">
        <v>27781823.059999999</v>
      </c>
      <c r="O108" s="1">
        <v>31290933.66</v>
      </c>
      <c r="P108" s="1">
        <v>36372035.969999999</v>
      </c>
    </row>
    <row r="109" spans="1:16">
      <c r="A109" t="s">
        <v>8</v>
      </c>
      <c r="B109" t="s">
        <v>101</v>
      </c>
      <c r="C109" s="1">
        <v>109534168</v>
      </c>
      <c r="D109" s="1">
        <v>115023832</v>
      </c>
      <c r="E109" s="1">
        <v>122546880</v>
      </c>
      <c r="F109" s="1">
        <v>151177888</v>
      </c>
      <c r="G109" s="1">
        <v>188245296</v>
      </c>
      <c r="H109" s="1">
        <v>227387728</v>
      </c>
      <c r="I109" s="1">
        <v>242709664</v>
      </c>
      <c r="J109" s="1">
        <v>300017184</v>
      </c>
      <c r="K109" s="1">
        <v>372746496</v>
      </c>
      <c r="L109" s="1">
        <v>415727805.39999998</v>
      </c>
      <c r="M109" s="1">
        <v>468794107.39999998</v>
      </c>
      <c r="N109" s="1">
        <v>591421236.5</v>
      </c>
      <c r="O109" s="1">
        <v>677163402.10000002</v>
      </c>
      <c r="P109" s="1">
        <v>750253850.94000006</v>
      </c>
    </row>
    <row r="110" spans="1:16">
      <c r="A110" t="s">
        <v>12</v>
      </c>
      <c r="B110" t="s">
        <v>101</v>
      </c>
      <c r="C110" s="1">
        <v>31061</v>
      </c>
      <c r="D110" s="1">
        <v>40292</v>
      </c>
      <c r="E110" s="1">
        <v>45245</v>
      </c>
      <c r="F110" s="1">
        <v>393493</v>
      </c>
      <c r="G110" s="1">
        <v>491395</v>
      </c>
      <c r="H110" s="1">
        <v>731128</v>
      </c>
      <c r="I110" s="1">
        <v>917602</v>
      </c>
      <c r="J110" s="1">
        <v>1253161</v>
      </c>
      <c r="K110" s="1">
        <v>2133383</v>
      </c>
      <c r="L110" s="1">
        <v>3097657.14</v>
      </c>
      <c r="M110" s="1">
        <v>3579122.34</v>
      </c>
      <c r="N110" s="1">
        <v>3970763.59</v>
      </c>
      <c r="O110" s="1">
        <v>4557660.63</v>
      </c>
      <c r="P110" s="1">
        <v>5389467.9400000004</v>
      </c>
    </row>
    <row r="111" spans="1:16">
      <c r="A111" t="s">
        <v>5</v>
      </c>
      <c r="B111" t="s">
        <v>101</v>
      </c>
      <c r="C111" s="1">
        <v>4115027</v>
      </c>
      <c r="D111" s="1">
        <v>4748671</v>
      </c>
      <c r="E111" s="1">
        <v>5104710</v>
      </c>
      <c r="F111" s="1">
        <v>6145910</v>
      </c>
      <c r="G111" s="1">
        <v>6836804</v>
      </c>
      <c r="H111" s="1">
        <v>8155188</v>
      </c>
      <c r="I111" s="1">
        <v>11119250</v>
      </c>
      <c r="J111" s="1">
        <v>15531578</v>
      </c>
      <c r="K111" s="1">
        <v>21546070</v>
      </c>
      <c r="L111" s="1">
        <v>21375479.780000001</v>
      </c>
      <c r="M111" s="1">
        <v>27833262.609999999</v>
      </c>
      <c r="N111" s="1">
        <v>34042263.030000001</v>
      </c>
      <c r="O111" s="1">
        <v>32738152.25</v>
      </c>
      <c r="P111" s="1">
        <v>32828290.030000001</v>
      </c>
    </row>
    <row r="112" spans="1:16">
      <c r="A112" t="s">
        <v>21</v>
      </c>
      <c r="B112" t="s">
        <v>101</v>
      </c>
      <c r="C112" s="1">
        <v>56746516</v>
      </c>
      <c r="D112" s="1">
        <v>81143424</v>
      </c>
      <c r="E112" s="1">
        <v>120444008</v>
      </c>
      <c r="F112" s="1">
        <v>133059608</v>
      </c>
      <c r="G112" s="1">
        <v>159165312</v>
      </c>
      <c r="H112" s="1">
        <v>182750720</v>
      </c>
      <c r="I112" s="1">
        <v>183546032</v>
      </c>
      <c r="J112" s="1">
        <v>184753552</v>
      </c>
      <c r="K112" s="1">
        <v>220442560</v>
      </c>
      <c r="L112" s="1">
        <v>197265703.19999999</v>
      </c>
      <c r="M112" s="1">
        <v>218576124.40000001</v>
      </c>
      <c r="N112" s="1">
        <v>249695626.19999999</v>
      </c>
      <c r="O112" s="1">
        <v>270947542</v>
      </c>
      <c r="P112" s="1">
        <v>309958485.11000001</v>
      </c>
    </row>
    <row r="113" spans="1:16">
      <c r="A113" t="s">
        <v>22</v>
      </c>
      <c r="B113" t="s">
        <v>101</v>
      </c>
      <c r="C113" s="1">
        <v>72602944</v>
      </c>
      <c r="D113" s="1">
        <v>73472616</v>
      </c>
      <c r="E113" s="1">
        <v>70658904</v>
      </c>
      <c r="F113" s="1">
        <v>79484744</v>
      </c>
      <c r="G113" s="1">
        <v>89898160</v>
      </c>
      <c r="H113" s="1">
        <v>106510696</v>
      </c>
      <c r="I113" s="1">
        <v>110619320</v>
      </c>
      <c r="J113" s="1">
        <v>127952528</v>
      </c>
      <c r="K113" s="1">
        <v>183207136</v>
      </c>
      <c r="L113" s="1">
        <v>167964709.5</v>
      </c>
      <c r="M113" s="1">
        <v>181129752.69999999</v>
      </c>
      <c r="N113" s="1">
        <v>214780501.36000001</v>
      </c>
      <c r="O113" s="1">
        <v>245292380</v>
      </c>
      <c r="P113" s="1">
        <v>284512456.11000001</v>
      </c>
    </row>
    <row r="114" spans="1:16">
      <c r="A114" t="s">
        <v>23</v>
      </c>
      <c r="B114" t="s">
        <v>101</v>
      </c>
      <c r="C114" s="1">
        <v>106891568</v>
      </c>
      <c r="D114" s="1">
        <v>121518472</v>
      </c>
      <c r="E114" s="1">
        <v>124455608</v>
      </c>
      <c r="F114" s="1">
        <v>133478296</v>
      </c>
      <c r="G114" s="1">
        <v>151117712</v>
      </c>
      <c r="H114" s="1">
        <v>185186384</v>
      </c>
      <c r="I114" s="1">
        <v>199863552</v>
      </c>
      <c r="J114" s="1">
        <v>218446800</v>
      </c>
      <c r="K114" s="1">
        <v>244675040</v>
      </c>
      <c r="L114" s="1">
        <v>286333742.80000001</v>
      </c>
      <c r="M114" s="1">
        <v>340140188.19999999</v>
      </c>
      <c r="N114" s="1">
        <v>409566062.60000002</v>
      </c>
      <c r="O114" s="1">
        <v>473206853.30000001</v>
      </c>
      <c r="P114" s="1">
        <v>531788493.88999999</v>
      </c>
    </row>
    <row r="115" spans="1:16">
      <c r="A115" t="s">
        <v>24</v>
      </c>
      <c r="B115" t="s">
        <v>101</v>
      </c>
      <c r="C115" s="1">
        <v>7018697</v>
      </c>
      <c r="D115" s="1">
        <v>6763809</v>
      </c>
      <c r="E115" s="1">
        <v>6321090</v>
      </c>
      <c r="F115" s="1">
        <v>6538366</v>
      </c>
      <c r="G115" s="1">
        <v>6770353</v>
      </c>
      <c r="H115" s="1">
        <v>7112723</v>
      </c>
      <c r="I115" s="1">
        <v>8543544</v>
      </c>
      <c r="J115" s="1">
        <v>9583411</v>
      </c>
      <c r="K115" s="1">
        <v>13556480</v>
      </c>
      <c r="L115" s="1">
        <v>11378431.710000001</v>
      </c>
      <c r="M115" s="1">
        <v>13610106.25</v>
      </c>
      <c r="N115" s="1">
        <v>16183209.25</v>
      </c>
      <c r="O115" s="1">
        <v>17294680.329999998</v>
      </c>
      <c r="P115" s="1">
        <v>18579509.920000002</v>
      </c>
    </row>
    <row r="116" spans="1:16">
      <c r="A116" t="s">
        <v>25</v>
      </c>
      <c r="B116" t="s">
        <v>101</v>
      </c>
      <c r="C116" s="1">
        <v>4472887</v>
      </c>
      <c r="D116" s="1">
        <v>4726225</v>
      </c>
      <c r="E116" s="1">
        <v>5148281</v>
      </c>
      <c r="F116" s="1">
        <v>5366241</v>
      </c>
      <c r="G116" s="1">
        <v>6063305</v>
      </c>
      <c r="H116" s="1">
        <v>7238869</v>
      </c>
      <c r="I116" s="1">
        <v>14395964</v>
      </c>
      <c r="J116" s="1">
        <v>10873856</v>
      </c>
      <c r="K116" s="1">
        <v>13947896</v>
      </c>
      <c r="L116" s="1">
        <v>21529210.879999999</v>
      </c>
      <c r="M116" s="1">
        <v>29120625.02</v>
      </c>
      <c r="N116" s="1">
        <v>34599051.920000002</v>
      </c>
      <c r="O116" s="1">
        <v>40146508.68</v>
      </c>
      <c r="P116" s="1">
        <v>41958425.520000003</v>
      </c>
    </row>
    <row r="117" spans="1:16">
      <c r="A117" t="s">
        <v>26</v>
      </c>
      <c r="B117" t="s">
        <v>101</v>
      </c>
      <c r="C117" s="1">
        <v>4821520</v>
      </c>
      <c r="D117" s="1">
        <v>5596856</v>
      </c>
      <c r="E117" s="1">
        <v>6192146</v>
      </c>
      <c r="F117" s="1">
        <v>6989193</v>
      </c>
      <c r="G117" s="1">
        <v>7260835</v>
      </c>
      <c r="H117" s="1">
        <v>8808078</v>
      </c>
      <c r="I117" s="1">
        <v>11330959</v>
      </c>
      <c r="J117" s="1">
        <v>13364926</v>
      </c>
      <c r="K117" s="1">
        <v>15911055</v>
      </c>
      <c r="L117" s="1">
        <v>17396239.890000001</v>
      </c>
      <c r="M117" s="1">
        <v>22199270</v>
      </c>
      <c r="N117" s="1">
        <v>27225397.84</v>
      </c>
      <c r="O117" s="1">
        <v>31538295.879999999</v>
      </c>
      <c r="P117" s="1">
        <v>37217478.350000001</v>
      </c>
    </row>
    <row r="118" spans="1:16">
      <c r="A118" t="s">
        <v>27</v>
      </c>
      <c r="B118" t="s">
        <v>101</v>
      </c>
      <c r="C118" s="1">
        <v>32774160</v>
      </c>
      <c r="D118" s="1">
        <v>39004416</v>
      </c>
      <c r="E118" s="1">
        <v>38408804</v>
      </c>
      <c r="F118" s="1">
        <v>42792336</v>
      </c>
      <c r="G118" s="1">
        <v>50036868</v>
      </c>
      <c r="H118" s="1">
        <v>68197648</v>
      </c>
      <c r="I118" s="1">
        <v>84885472</v>
      </c>
      <c r="J118" s="1">
        <v>91043248</v>
      </c>
      <c r="K118" s="1">
        <v>110079264</v>
      </c>
      <c r="L118" s="1">
        <v>116253818.3</v>
      </c>
      <c r="M118" s="1">
        <v>139374117.09999999</v>
      </c>
      <c r="N118" s="1">
        <v>167071565</v>
      </c>
      <c r="O118" s="1">
        <v>229577413.77000001</v>
      </c>
      <c r="P118" s="1">
        <v>288848845.19</v>
      </c>
    </row>
    <row r="119" spans="1:16">
      <c r="A119" t="s">
        <v>46</v>
      </c>
      <c r="B119" t="s">
        <v>101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t="s">
        <v>28</v>
      </c>
      <c r="B120" t="s">
        <v>101</v>
      </c>
      <c r="C120" s="1">
        <v>1438223</v>
      </c>
      <c r="D120" s="1">
        <v>1960669</v>
      </c>
      <c r="E120" s="1">
        <v>1849805</v>
      </c>
      <c r="F120" s="1">
        <v>2378717</v>
      </c>
      <c r="G120" s="1">
        <v>8572590</v>
      </c>
      <c r="H120" s="1">
        <v>11884590</v>
      </c>
      <c r="I120" s="1">
        <v>13949889</v>
      </c>
      <c r="J120" s="1">
        <v>15249158</v>
      </c>
      <c r="K120" s="1">
        <v>15522423</v>
      </c>
      <c r="L120" s="1">
        <v>16199635.460000001</v>
      </c>
      <c r="M120" s="1">
        <v>16610627.890000001</v>
      </c>
      <c r="N120" s="1">
        <v>17702824.949999999</v>
      </c>
      <c r="O120" s="1">
        <v>19801216.84</v>
      </c>
      <c r="P120" s="1">
        <v>21925325.469999999</v>
      </c>
    </row>
    <row r="121" spans="1:16">
      <c r="A121" t="s">
        <v>29</v>
      </c>
      <c r="B121" t="s">
        <v>101</v>
      </c>
      <c r="C121" s="1">
        <v>8139250.7503002631</v>
      </c>
      <c r="D121" s="1">
        <v>11181168.593213893</v>
      </c>
      <c r="E121" s="1">
        <v>12042159.37903101</v>
      </c>
      <c r="F121" s="1">
        <v>10586619</v>
      </c>
      <c r="G121" s="1">
        <v>16395080</v>
      </c>
      <c r="H121" s="1">
        <v>25742740</v>
      </c>
      <c r="I121" s="1">
        <v>27365448</v>
      </c>
      <c r="J121" s="1">
        <v>33986408</v>
      </c>
      <c r="K121" s="1">
        <v>45396136</v>
      </c>
      <c r="L121" s="1">
        <v>58410089.409999996</v>
      </c>
      <c r="M121" s="1">
        <v>73533594.609999999</v>
      </c>
      <c r="N121" s="1">
        <v>84659531.819999993</v>
      </c>
      <c r="O121" s="1">
        <v>90740178</v>
      </c>
      <c r="P121" s="1">
        <v>85773519.879999995</v>
      </c>
    </row>
    <row r="122" spans="1:16">
      <c r="A122" t="s">
        <v>7</v>
      </c>
      <c r="B122" t="s">
        <v>101</v>
      </c>
      <c r="C122" s="1">
        <v>8510354</v>
      </c>
      <c r="D122" s="1">
        <v>9242737</v>
      </c>
      <c r="E122" s="1">
        <v>10241831</v>
      </c>
      <c r="F122" s="1">
        <v>10823595</v>
      </c>
      <c r="G122" s="1">
        <v>9240983</v>
      </c>
      <c r="H122" s="1">
        <v>11516196</v>
      </c>
      <c r="I122" s="1">
        <v>14476925</v>
      </c>
      <c r="J122" s="1">
        <v>18946684</v>
      </c>
      <c r="K122" s="1">
        <v>33014218</v>
      </c>
      <c r="L122" s="1">
        <v>30282244.09</v>
      </c>
      <c r="M122" s="1">
        <v>25291955.219999999</v>
      </c>
      <c r="N122" s="1">
        <v>29498053.449999999</v>
      </c>
      <c r="O122" s="1">
        <v>38294239.549999997</v>
      </c>
      <c r="P122" s="1">
        <v>39873190.899999999</v>
      </c>
    </row>
    <row r="123" spans="1:16">
      <c r="A123" t="s">
        <v>13</v>
      </c>
      <c r="B123" t="s">
        <v>101</v>
      </c>
      <c r="C123" s="1">
        <v>374324</v>
      </c>
      <c r="D123" s="1">
        <v>862301</v>
      </c>
      <c r="E123" s="1">
        <v>949239</v>
      </c>
      <c r="F123" s="1">
        <v>1390047</v>
      </c>
      <c r="G123" s="1">
        <v>1474375</v>
      </c>
      <c r="H123" s="1">
        <v>1513290</v>
      </c>
      <c r="I123" s="1">
        <v>1727327</v>
      </c>
      <c r="J123" s="1">
        <v>2154295</v>
      </c>
      <c r="K123" s="1">
        <v>2448202</v>
      </c>
      <c r="L123" s="1">
        <v>2712617.2</v>
      </c>
      <c r="M123" s="1">
        <v>3111193.92</v>
      </c>
      <c r="N123" s="1">
        <v>3615276.21</v>
      </c>
      <c r="O123" s="1">
        <v>4492186.2300000004</v>
      </c>
      <c r="P123" s="1">
        <v>5671916.2999999998</v>
      </c>
    </row>
    <row r="124" spans="1:16">
      <c r="A124" t="s">
        <v>30</v>
      </c>
      <c r="B124" t="s">
        <v>101</v>
      </c>
      <c r="C124" s="1">
        <v>451646</v>
      </c>
      <c r="D124" s="1">
        <v>447722</v>
      </c>
      <c r="E124" s="1">
        <v>506177</v>
      </c>
      <c r="F124" s="1">
        <v>511775</v>
      </c>
      <c r="G124" s="1">
        <v>515887</v>
      </c>
      <c r="H124" s="1">
        <v>653798</v>
      </c>
      <c r="I124" s="1">
        <v>745904</v>
      </c>
      <c r="J124" s="1">
        <v>845217</v>
      </c>
      <c r="K124" s="1">
        <v>942277</v>
      </c>
      <c r="L124" s="1">
        <v>1110050.06</v>
      </c>
      <c r="M124" s="1">
        <v>1354717.17</v>
      </c>
      <c r="N124" s="1">
        <v>1467939.11</v>
      </c>
      <c r="O124" s="1">
        <v>1718032.83</v>
      </c>
      <c r="P124" s="1">
        <v>1991269.47</v>
      </c>
    </row>
    <row r="125" spans="1:16">
      <c r="A125" t="s">
        <v>31</v>
      </c>
      <c r="B125" t="s">
        <v>101</v>
      </c>
      <c r="C125" s="1">
        <v>2766413</v>
      </c>
      <c r="D125" s="1">
        <v>3263752</v>
      </c>
      <c r="E125" s="1">
        <v>3315214</v>
      </c>
      <c r="F125" s="1">
        <v>3491632</v>
      </c>
      <c r="G125" s="1">
        <v>4084447</v>
      </c>
      <c r="H125" s="1">
        <v>5400761</v>
      </c>
      <c r="I125" s="1">
        <v>6180280</v>
      </c>
      <c r="J125" s="1">
        <v>7094899</v>
      </c>
      <c r="K125" s="1">
        <v>7573286</v>
      </c>
      <c r="L125" s="1">
        <v>9028761.9199999999</v>
      </c>
      <c r="M125" s="1">
        <v>9114167.1300000008</v>
      </c>
      <c r="N125" s="1">
        <v>11431730.68</v>
      </c>
      <c r="O125" s="1">
        <v>12168348.109999999</v>
      </c>
      <c r="P125" s="1">
        <v>13002520.65</v>
      </c>
    </row>
    <row r="126" spans="1:16">
      <c r="A126" t="s">
        <v>32</v>
      </c>
      <c r="B126" t="s">
        <v>101</v>
      </c>
      <c r="C126" s="1">
        <v>2966409</v>
      </c>
      <c r="D126" s="1">
        <v>3959488</v>
      </c>
      <c r="E126" s="1">
        <v>4551634</v>
      </c>
      <c r="F126" s="1">
        <v>4548429</v>
      </c>
      <c r="G126" s="1">
        <v>3723003</v>
      </c>
      <c r="H126" s="1">
        <v>3789699</v>
      </c>
      <c r="I126" s="1">
        <v>6401369</v>
      </c>
      <c r="J126" s="1">
        <v>6917927</v>
      </c>
      <c r="K126" s="1">
        <v>8308123</v>
      </c>
      <c r="L126" s="1">
        <v>9089186.5700000003</v>
      </c>
      <c r="M126" s="1">
        <v>10862813.789999999</v>
      </c>
      <c r="N126" s="1">
        <v>13198760.07</v>
      </c>
      <c r="O126" s="1">
        <v>13556118.6</v>
      </c>
      <c r="P126" s="1">
        <v>16451179.279999999</v>
      </c>
    </row>
    <row r="127" spans="1:16">
      <c r="A127" t="s">
        <v>14</v>
      </c>
      <c r="B127" t="s">
        <v>101</v>
      </c>
      <c r="C127" s="1">
        <v>7150345</v>
      </c>
      <c r="D127" s="1">
        <v>8923228</v>
      </c>
      <c r="E127" s="1">
        <v>10683034</v>
      </c>
      <c r="F127" s="1">
        <v>12154821</v>
      </c>
      <c r="G127" s="1">
        <v>13771918</v>
      </c>
      <c r="H127" s="1">
        <v>18776304</v>
      </c>
      <c r="I127" s="1">
        <v>24229896</v>
      </c>
      <c r="J127" s="1">
        <v>25285566</v>
      </c>
      <c r="K127" s="1">
        <v>34302752</v>
      </c>
      <c r="L127" s="1">
        <v>39422170.119999997</v>
      </c>
      <c r="M127" s="1">
        <v>46981257.359999999</v>
      </c>
      <c r="N127" s="1">
        <v>47151382.159999996</v>
      </c>
      <c r="O127" s="1">
        <v>49439911.119999997</v>
      </c>
      <c r="P127" s="1">
        <v>54823604.100000001</v>
      </c>
    </row>
    <row r="128" spans="1:16">
      <c r="A128" t="s">
        <v>33</v>
      </c>
      <c r="B128" t="s">
        <v>101</v>
      </c>
      <c r="C128" s="1">
        <v>4037299</v>
      </c>
      <c r="D128" s="1">
        <v>5038323</v>
      </c>
      <c r="E128" s="1">
        <v>4551967</v>
      </c>
      <c r="F128" s="1">
        <v>4333624</v>
      </c>
      <c r="G128" s="1">
        <v>4962927</v>
      </c>
      <c r="H128" s="1">
        <v>6439579</v>
      </c>
      <c r="I128" s="1">
        <v>8285290</v>
      </c>
      <c r="J128" s="1">
        <v>8529464</v>
      </c>
      <c r="K128" s="1">
        <v>9506931</v>
      </c>
      <c r="L128" s="1">
        <v>8523592.1999999993</v>
      </c>
      <c r="M128" s="1">
        <v>9421284.5600000005</v>
      </c>
      <c r="N128" s="1">
        <v>11004794.890000001</v>
      </c>
      <c r="O128" s="1">
        <v>14261987.91</v>
      </c>
      <c r="P128" s="1">
        <v>17997038.210000001</v>
      </c>
    </row>
    <row r="129" spans="1:16">
      <c r="A129" t="s">
        <v>4</v>
      </c>
      <c r="B129" t="s">
        <v>101</v>
      </c>
      <c r="C129" s="1">
        <v>14288985.249699738</v>
      </c>
      <c r="D129" s="1">
        <v>14564097.406786107</v>
      </c>
      <c r="E129" s="1">
        <v>11770786.62096899</v>
      </c>
      <c r="F129" s="1">
        <v>18344640</v>
      </c>
      <c r="G129" s="1">
        <v>21441156</v>
      </c>
      <c r="H129" s="1">
        <v>26814380</v>
      </c>
      <c r="I129" s="1">
        <v>31948012</v>
      </c>
      <c r="J129" s="1">
        <v>37549804</v>
      </c>
      <c r="K129" s="1">
        <v>48370308</v>
      </c>
      <c r="L129" s="1">
        <v>46138459.009999998</v>
      </c>
      <c r="M129" s="1">
        <v>53219518.009999998</v>
      </c>
      <c r="N129" s="1">
        <v>59246404.310000002</v>
      </c>
      <c r="O129" s="1">
        <v>62981733.18</v>
      </c>
      <c r="P129" s="1">
        <v>67230910.780000001</v>
      </c>
    </row>
    <row r="130" spans="1:16">
      <c r="A130" t="s">
        <v>34</v>
      </c>
      <c r="B130" t="s">
        <v>101</v>
      </c>
      <c r="C130" s="1">
        <v>319488.48784804292</v>
      </c>
      <c r="D130" s="1">
        <v>427857.28674989112</v>
      </c>
      <c r="E130" s="1">
        <v>461423.5876619867</v>
      </c>
      <c r="F130" s="1">
        <v>505932.77947726508</v>
      </c>
      <c r="G130" s="1">
        <v>648722</v>
      </c>
      <c r="H130" s="1">
        <v>687909</v>
      </c>
      <c r="I130" s="1">
        <v>921763</v>
      </c>
      <c r="J130" s="1">
        <v>1250068</v>
      </c>
      <c r="K130" s="1">
        <v>1876594</v>
      </c>
      <c r="L130" s="1">
        <v>2151039.94</v>
      </c>
      <c r="M130" s="1">
        <v>2471770.2599999998</v>
      </c>
      <c r="N130" s="1">
        <v>3137628.98</v>
      </c>
      <c r="O130" s="1">
        <v>3520152.88</v>
      </c>
      <c r="P130" s="1">
        <v>3701271.93</v>
      </c>
    </row>
    <row r="131" spans="1:16">
      <c r="A131" t="s">
        <v>35</v>
      </c>
      <c r="B131" t="s">
        <v>101</v>
      </c>
      <c r="C131" s="1">
        <v>4793604.5121519575</v>
      </c>
      <c r="D131" s="1">
        <v>6419569.713250109</v>
      </c>
      <c r="E131" s="1">
        <v>6923198.4123380128</v>
      </c>
      <c r="F131" s="1">
        <v>7591014.2205227353</v>
      </c>
      <c r="G131" s="1">
        <v>12235156</v>
      </c>
      <c r="H131" s="1">
        <v>15721574</v>
      </c>
      <c r="I131" s="1">
        <v>18558592</v>
      </c>
      <c r="J131" s="1">
        <v>27797634</v>
      </c>
      <c r="K131" s="1">
        <v>28224750</v>
      </c>
      <c r="L131" s="1">
        <v>27315824.870000001</v>
      </c>
      <c r="M131" s="1">
        <v>39642954.170000002</v>
      </c>
      <c r="N131" s="1">
        <v>35360592.579999998</v>
      </c>
      <c r="O131" s="1">
        <v>46492602.880000003</v>
      </c>
      <c r="P131" s="1">
        <v>60284257.990000002</v>
      </c>
    </row>
    <row r="132" spans="1:16">
      <c r="A132" t="s">
        <v>36</v>
      </c>
      <c r="B132" t="s">
        <v>101</v>
      </c>
      <c r="C132" s="1">
        <v>999172</v>
      </c>
      <c r="D132" s="1">
        <v>1144090</v>
      </c>
      <c r="E132" s="1">
        <v>1556748</v>
      </c>
      <c r="F132" s="1">
        <v>1705453</v>
      </c>
      <c r="G132" s="1">
        <v>1811352</v>
      </c>
      <c r="H132" s="1">
        <v>2009285</v>
      </c>
      <c r="I132" s="1">
        <v>2283320</v>
      </c>
      <c r="J132" s="1">
        <v>2523861</v>
      </c>
      <c r="K132" s="1">
        <v>3819272</v>
      </c>
      <c r="L132" s="1">
        <v>4913500.25</v>
      </c>
      <c r="M132" s="1">
        <v>5508147.04</v>
      </c>
      <c r="N132" s="1">
        <v>6231780.8099999996</v>
      </c>
      <c r="O132" s="1">
        <v>7997796.25</v>
      </c>
      <c r="P132" s="1">
        <v>10307437.99</v>
      </c>
    </row>
    <row r="133" spans="1:16">
      <c r="A133" t="s">
        <v>37</v>
      </c>
      <c r="B133" t="s">
        <v>101</v>
      </c>
      <c r="C133" s="1">
        <v>1000456</v>
      </c>
      <c r="D133" s="1">
        <v>1306776</v>
      </c>
      <c r="E133" s="1">
        <v>1410860</v>
      </c>
      <c r="F133" s="1">
        <v>1638676</v>
      </c>
      <c r="G133" s="1">
        <v>2330493</v>
      </c>
      <c r="H133" s="1">
        <v>2882339</v>
      </c>
      <c r="I133" s="1">
        <v>4528833</v>
      </c>
      <c r="J133" s="1">
        <v>5088552</v>
      </c>
      <c r="K133" s="1">
        <v>5948382</v>
      </c>
      <c r="L133" s="1">
        <v>7537528.4800000004</v>
      </c>
      <c r="M133" s="1">
        <v>9798858.8200000003</v>
      </c>
      <c r="N133" s="1">
        <v>11061782.880000001</v>
      </c>
      <c r="O133" s="1">
        <v>12854388.140000001</v>
      </c>
      <c r="P133" s="1">
        <v>14934897.140000001</v>
      </c>
    </row>
    <row r="134" spans="1:16">
      <c r="A134" t="s">
        <v>38</v>
      </c>
      <c r="B134" t="s">
        <v>101</v>
      </c>
      <c r="C134" s="1">
        <v>17710648</v>
      </c>
      <c r="D134" s="1">
        <v>21402386</v>
      </c>
      <c r="E134" s="1">
        <v>21757984</v>
      </c>
      <c r="F134" s="1">
        <v>20885342</v>
      </c>
      <c r="G134" s="1">
        <v>28958174</v>
      </c>
      <c r="H134" s="1">
        <v>35615232</v>
      </c>
      <c r="I134" s="1">
        <v>40100868</v>
      </c>
      <c r="J134" s="1">
        <v>52209624</v>
      </c>
      <c r="K134" s="1">
        <v>63815116</v>
      </c>
      <c r="L134" s="1">
        <v>71628304.849999994</v>
      </c>
      <c r="M134" s="1">
        <v>87799650.269999996</v>
      </c>
      <c r="N134" s="1">
        <v>107212429.91</v>
      </c>
      <c r="O134" s="1">
        <v>121797056.18000001</v>
      </c>
      <c r="P134" s="1">
        <v>139107613.52000001</v>
      </c>
    </row>
    <row r="135" spans="1:16">
      <c r="A135" t="s">
        <v>39</v>
      </c>
      <c r="B135" t="s">
        <v>101</v>
      </c>
      <c r="C135" s="1">
        <v>1558746</v>
      </c>
      <c r="D135" s="1">
        <v>1405734</v>
      </c>
      <c r="E135" s="1">
        <v>1469521</v>
      </c>
      <c r="F135" s="1">
        <v>1433397</v>
      </c>
      <c r="G135" s="1">
        <v>2074208</v>
      </c>
      <c r="H135" s="1">
        <v>3177243</v>
      </c>
      <c r="I135" s="1">
        <v>3865588</v>
      </c>
      <c r="J135" s="1">
        <v>5983992</v>
      </c>
      <c r="K135" s="1">
        <v>10599320</v>
      </c>
      <c r="L135" s="1">
        <v>10041609.970000001</v>
      </c>
      <c r="M135" s="1">
        <v>12252885.779999999</v>
      </c>
      <c r="N135" s="1">
        <v>14581105.859999999</v>
      </c>
      <c r="O135" s="1">
        <v>16827878.719999999</v>
      </c>
      <c r="P135" s="1">
        <v>18637708.649999999</v>
      </c>
    </row>
    <row r="136" spans="1:16">
      <c r="A136" t="s">
        <v>40</v>
      </c>
      <c r="B136" t="s">
        <v>101</v>
      </c>
      <c r="C136" s="1">
        <v>11523139</v>
      </c>
      <c r="D136" s="1">
        <v>13228466</v>
      </c>
      <c r="E136" s="1">
        <v>14569607</v>
      </c>
      <c r="F136" s="1">
        <v>14693550</v>
      </c>
      <c r="G136" s="1">
        <v>18050520</v>
      </c>
      <c r="H136" s="1">
        <v>21154042</v>
      </c>
      <c r="I136" s="1">
        <v>25527734</v>
      </c>
      <c r="J136" s="1">
        <v>30868394</v>
      </c>
      <c r="K136" s="1">
        <v>40272556</v>
      </c>
      <c r="L136" s="1">
        <v>46213179</v>
      </c>
      <c r="M136" s="1">
        <v>57545845.240000002</v>
      </c>
      <c r="N136" s="1">
        <v>74394524.849999994</v>
      </c>
      <c r="O136" s="1">
        <v>85874053.890000001</v>
      </c>
      <c r="P136" s="1">
        <v>102449569</v>
      </c>
    </row>
    <row r="137" spans="1:16">
      <c r="A137" t="s">
        <v>41</v>
      </c>
      <c r="B137" t="s">
        <v>101</v>
      </c>
      <c r="C137" s="1">
        <v>2955321</v>
      </c>
      <c r="D137" s="1">
        <v>2779630</v>
      </c>
      <c r="E137" s="1">
        <v>2842433</v>
      </c>
      <c r="F137" s="1">
        <v>3023450</v>
      </c>
      <c r="G137" s="1">
        <v>4456682</v>
      </c>
      <c r="H137" s="1">
        <v>4817180</v>
      </c>
      <c r="I137" s="1">
        <v>5700687</v>
      </c>
      <c r="J137" s="1">
        <v>8607205</v>
      </c>
      <c r="K137" s="1">
        <v>12808914</v>
      </c>
      <c r="L137" s="1">
        <v>14437878.6</v>
      </c>
      <c r="M137" s="1">
        <v>17695374</v>
      </c>
      <c r="N137" s="1">
        <v>17756984</v>
      </c>
      <c r="O137" s="1">
        <v>20215394.120000001</v>
      </c>
      <c r="P137" s="1">
        <v>20624368.379999999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FIXING IMPORT</vt:lpstr>
      <vt:lpstr>RAW_CEIC</vt:lpstr>
      <vt:lpstr>WIDE_CEIC</vt:lpstr>
      <vt:lpstr>WIDE_IDD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Salim</dc:creator>
  <cp:lastModifiedBy>Hardy Salim</cp:lastModifiedBy>
  <dcterms:created xsi:type="dcterms:W3CDTF">2026-07-22T06:02:14Z</dcterms:created>
  <dcterms:modified xsi:type="dcterms:W3CDTF">2026-07-28T03:33:54Z</dcterms:modified>
</cp:coreProperties>
</file>